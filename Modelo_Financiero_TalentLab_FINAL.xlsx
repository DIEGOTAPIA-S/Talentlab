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en y Financiación" sheetId="1" state="visible" r:id="rId1"/>
    <sheet xmlns:r="http://schemas.openxmlformats.org/officeDocument/2006/relationships" name="2. Amortización Crédito" sheetId="2" state="visible" r:id="rId2"/>
    <sheet xmlns:r="http://schemas.openxmlformats.org/officeDocument/2006/relationships" name="3. Estado de Resultados P&amp;G" sheetId="3" state="visible" r:id="rId3"/>
    <sheet xmlns:r="http://schemas.openxmlformats.org/officeDocument/2006/relationships" name="4. Evaluación e Indica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B365D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007A33"/>
        <bgColor rgb="00007A33"/>
      </patternFill>
    </fill>
    <fill>
      <patternFill patternType="solid">
        <fgColor rgb="00EBF5FB"/>
        <bgColor rgb="00EBF5FB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0" fontId="3" fillId="4" borderId="2" pivotButton="0" quotePrefix="0" xfId="0"/>
    <xf numFmtId="164" fontId="3" fillId="4" borderId="2" pivotButton="0" quotePrefix="0" xfId="0"/>
    <xf numFmtId="10" fontId="3" fillId="4" borderId="2" pivotButton="0" quotePrefix="0" xfId="0"/>
    <xf numFmtId="0" fontId="6" fillId="5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0" fillId="0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applyAlignment="1" pivotButton="0" quotePrefix="0" xfId="0">
      <alignment horizontal="right"/>
    </xf>
    <xf numFmtId="0" fontId="6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5" fillId="0" borderId="1" pivotButton="0" quotePrefix="0" xfId="0"/>
    <xf numFmtId="0" fontId="4" fillId="0" borderId="1" applyAlignment="1" pivotButton="0" quotePrefix="0" xfId="0">
      <alignment horizontal="center"/>
    </xf>
    <xf numFmtId="10" fontId="4" fillId="6" borderId="1" pivotButton="0" quotePrefix="0" xfId="0"/>
    <xf numFmtId="2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87" customWidth="1" min="1" max="1"/>
    <col width="54" customWidth="1" min="2" max="2"/>
    <col width="17" customWidth="1" min="3" max="3"/>
    <col width="21" customWidth="1" min="4" max="4"/>
    <col width="46" customWidth="1" min="5" max="5"/>
  </cols>
  <sheetData>
    <row r="1" ht="30" customHeight="1">
      <c r="A1" s="1" t="inlineStr">
        <is>
          <t>TALENTLAB S.A.S. - PLAN MAESTRO DE INVERSIÓN Y FINANCIACIÓN</t>
        </is>
      </c>
    </row>
    <row r="2"/>
    <row r="3">
      <c r="A3" s="2" t="inlineStr">
        <is>
          <t>1. ESTRUCTURA DE LA INVERSIÓN INICIAL REQUERIDA</t>
        </is>
      </c>
    </row>
    <row r="4">
      <c r="A4" s="3" t="inlineStr">
        <is>
          <t>Componente de la Inversión</t>
        </is>
      </c>
      <c r="B4" s="3" t="inlineStr">
        <is>
          <t>Rubro Operativo</t>
        </is>
      </c>
      <c r="C4" s="3" t="inlineStr">
        <is>
          <t>Valor (COP)</t>
        </is>
      </c>
      <c r="D4" s="3" t="inlineStr">
        <is>
          <t>Participación</t>
        </is>
      </c>
      <c r="E4" s="3" t="inlineStr">
        <is>
          <t>Fuente Principal</t>
        </is>
      </c>
    </row>
    <row r="5">
      <c r="A5" s="4" t="inlineStr">
        <is>
          <t>Inversiones Fijas Tangibles</t>
        </is>
      </c>
      <c r="B5" s="5" t="inlineStr">
        <is>
          <t>Equipos de cómputo ($9.85M) y Muebles ($4.50M)</t>
        </is>
      </c>
      <c r="C5" s="6" t="n">
        <v>14350000</v>
      </c>
      <c r="D5" s="7">
        <f>C5/$C$8</f>
        <v/>
      </c>
      <c r="E5" s="5" t="inlineStr">
        <is>
          <t>Crédito Bancario Pyme (100%)</t>
        </is>
      </c>
    </row>
    <row r="6">
      <c r="A6" s="4" t="inlineStr">
        <is>
          <t>Inversiones Diferidas (Preoperativos)</t>
        </is>
      </c>
      <c r="B6" s="5" t="inlineStr">
        <is>
          <t>Constitución S.A.S., SIC marca, SG-SST, Exámenes</t>
        </is>
      </c>
      <c r="C6" s="6" t="n">
        <v>2804000</v>
      </c>
      <c r="D6" s="7">
        <f>C6/$C$8</f>
        <v/>
      </c>
      <c r="E6" s="5" t="inlineStr">
        <is>
          <t>Crédito Bancario Pyme (100%)</t>
        </is>
      </c>
    </row>
    <row r="7">
      <c r="A7" s="4" t="inlineStr">
        <is>
          <t>Capital de Trabajo Inicial</t>
        </is>
      </c>
      <c r="B7" s="5" t="inlineStr">
        <is>
          <t>Fondo de maniobra (servidores, pauta, nómina base)</t>
        </is>
      </c>
      <c r="C7" s="6" t="n">
        <v>30190222</v>
      </c>
      <c r="D7" s="7">
        <f>C7/$C$8</f>
        <v/>
      </c>
      <c r="E7" s="5" t="inlineStr">
        <is>
          <t>Crédito Pyme ($23.49M) + Socios ($6.70M)</t>
        </is>
      </c>
    </row>
    <row r="8">
      <c r="A8" s="8" t="inlineStr">
        <is>
          <t>TOTAL INVERSIÓN INICIAL</t>
        </is>
      </c>
      <c r="B8" s="8" t="inlineStr">
        <is>
          <t>Presupuesto Consolidado de Puesta en Marcha</t>
        </is>
      </c>
      <c r="C8" s="9">
        <f>SUM(C5:C7)</f>
        <v/>
      </c>
      <c r="D8" s="10">
        <f>SUM(D5:D7)</f>
        <v/>
      </c>
      <c r="E8" s="8" t="inlineStr">
        <is>
          <t>100% Financiado</t>
        </is>
      </c>
    </row>
    <row r="9"/>
    <row r="10">
      <c r="A10" s="2" t="inlineStr">
        <is>
          <t>2. FUENTES DE FINANCIACIÓN DEL PROYECTO</t>
        </is>
      </c>
    </row>
    <row r="11">
      <c r="A11" s="3" t="inlineStr">
        <is>
          <t>Fuente de Financiación</t>
        </is>
      </c>
      <c r="B11" s="3" t="inlineStr">
        <is>
          <t>Tipo de Recurso</t>
        </is>
      </c>
      <c r="C11" s="3" t="inlineStr">
        <is>
          <t>Monto (COP)</t>
        </is>
      </c>
      <c r="D11" s="3" t="inlineStr">
        <is>
          <t>Participación (%)</t>
        </is>
      </c>
      <c r="E11" s="3" t="inlineStr">
        <is>
          <t>Condiciones / Tasa</t>
        </is>
      </c>
    </row>
    <row r="12">
      <c r="A12" s="4" t="inlineStr">
        <is>
          <t>Recursos Propios (Aporte Emprendedor)</t>
        </is>
      </c>
      <c r="B12" s="5" t="inlineStr">
        <is>
          <t>Capital Social en Efectivo</t>
        </is>
      </c>
      <c r="C12" s="6" t="n">
        <v>6700000</v>
      </c>
      <c r="D12" s="7">
        <f>C12/$C$14</f>
        <v/>
      </c>
      <c r="E12" s="5" t="inlineStr">
        <is>
          <t>Aporte fundador Diego Tapia Salazar</t>
        </is>
      </c>
    </row>
    <row r="13">
      <c r="A13" s="4" t="inlineStr">
        <is>
          <t>Crédito Financiero Empresarial (Pyme)</t>
        </is>
      </c>
      <c r="B13" s="5" t="inlineStr">
        <is>
          <t>Deuda Bancaria Comercial</t>
        </is>
      </c>
      <c r="C13" s="6" t="n">
        <v>40644222</v>
      </c>
      <c r="D13" s="7">
        <f>C13/$C$14</f>
        <v/>
      </c>
      <c r="E13" s="5" t="inlineStr">
        <is>
          <t>Plazo 5 años, 14.0% E.A., garantía FNG 70%</t>
        </is>
      </c>
    </row>
    <row r="14">
      <c r="A14" s="8" t="inlineStr">
        <is>
          <t>TOTAL FINANCIACIÓN</t>
        </is>
      </c>
      <c r="B14" s="8" t="inlineStr">
        <is>
          <t>Estructura de Capital</t>
        </is>
      </c>
      <c r="C14" s="9">
        <f>SUM(C12:C13)</f>
        <v/>
      </c>
      <c r="D14" s="10">
        <f>SUM(D12:D13)</f>
        <v/>
      </c>
      <c r="E14" s="8" t="inlineStr">
        <is>
          <t>Autonomía Financiera Total</t>
        </is>
      </c>
    </row>
    <row r="15"/>
    <row r="16">
      <c r="A16" s="11" t="inlineStr">
        <is>
          <t>NOTA ESTRATÉGICA DE EVALUACIÓN:
El proyecto reemplazó formalmente la dependencia exclusiva de convocatorias de Fondo Emprender por un Crédito Comercial Bancario Pyme a 5 años amortizable al 14.0% E.A. Esto garantiza la autosuficiencia operativa de TalentLab S.A.S. desde el día 1, dejando el Fondo Emprender o subsidios estatales como alternativas optativas de cofinanciación futura.</t>
        </is>
      </c>
    </row>
    <row r="17"/>
    <row r="18"/>
  </sheetData>
  <mergeCells count="2">
    <mergeCell ref="A1:E1"/>
    <mergeCell ref="A16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52" customWidth="1" min="1" max="1"/>
    <col width="18" customWidth="1" min="2" max="2"/>
    <col width="23" customWidth="1" min="3" max="3"/>
    <col width="25" customWidth="1" min="4" max="4"/>
    <col width="24" customWidth="1" min="5" max="5"/>
    <col width="27" customWidth="1" min="6" max="6"/>
    <col width="27" customWidth="1" min="7" max="7"/>
  </cols>
  <sheetData>
    <row r="1" ht="30" customHeight="1">
      <c r="A1" s="1" t="inlineStr">
        <is>
          <t>TABLA DE AMORTIZACIÓN CRÉDITO BANCARIO PYME (5 AÑOS / 14.0% E.A.)</t>
        </is>
      </c>
    </row>
    <row r="2"/>
    <row r="3">
      <c r="A3" s="12" t="inlineStr">
        <is>
          <t>Monto del Préstamo: $40,644,222 COP  |  Plazo: 5 Años (60 Meses)  |  Tasa de Interés: 14.00% E.A.  |  Abono Constante a Capital: $8,128,844.40 / Año</t>
        </is>
      </c>
    </row>
    <row r="4"/>
    <row r="5">
      <c r="A5" s="3" t="inlineStr">
        <is>
          <t>Período</t>
        </is>
      </c>
      <c r="B5" s="3" t="inlineStr">
        <is>
          <t>Año Calendario</t>
        </is>
      </c>
      <c r="C5" s="3" t="inlineStr">
        <is>
          <t>Saldo Inicial (COP)</t>
        </is>
      </c>
      <c r="D5" s="3" t="inlineStr">
        <is>
          <t>Abono a Capital (COP)</t>
        </is>
      </c>
      <c r="E5" s="3" t="inlineStr">
        <is>
          <t>Intereses (14% E.A.)</t>
        </is>
      </c>
      <c r="F5" s="3" t="inlineStr">
        <is>
          <t>Cuota Total Anual (COP)</t>
        </is>
      </c>
      <c r="G5" s="3" t="inlineStr">
        <is>
          <t>Saldo Final Deuda (COP)</t>
        </is>
      </c>
    </row>
    <row r="6">
      <c r="A6" s="13" t="n">
        <v>1</v>
      </c>
      <c r="B6" s="5" t="inlineStr">
        <is>
          <t>Año 1 (2026)</t>
        </is>
      </c>
      <c r="C6" s="6" t="n">
        <v>40644222</v>
      </c>
      <c r="D6" s="6">
        <f>40644222/5</f>
        <v/>
      </c>
      <c r="E6" s="6">
        <f>C6*0.14</f>
        <v/>
      </c>
      <c r="F6" s="6">
        <f>D6+E6</f>
        <v/>
      </c>
      <c r="G6" s="6">
        <f>C6-D6</f>
        <v/>
      </c>
    </row>
    <row r="7">
      <c r="A7" s="13" t="n">
        <v>2</v>
      </c>
      <c r="B7" s="5" t="inlineStr">
        <is>
          <t>Año 2 (2027)</t>
        </is>
      </c>
      <c r="C7" s="6">
        <f>G6</f>
        <v/>
      </c>
      <c r="D7" s="6">
        <f>40644222/5</f>
        <v/>
      </c>
      <c r="E7" s="6">
        <f>C7*0.14</f>
        <v/>
      </c>
      <c r="F7" s="6">
        <f>D7+E7</f>
        <v/>
      </c>
      <c r="G7" s="6">
        <f>C7-D7</f>
        <v/>
      </c>
    </row>
    <row r="8">
      <c r="A8" s="13" t="n">
        <v>3</v>
      </c>
      <c r="B8" s="5" t="inlineStr">
        <is>
          <t>Año 3 (2028)</t>
        </is>
      </c>
      <c r="C8" s="6">
        <f>G7</f>
        <v/>
      </c>
      <c r="D8" s="6">
        <f>40644222/5</f>
        <v/>
      </c>
      <c r="E8" s="6">
        <f>C8*0.14</f>
        <v/>
      </c>
      <c r="F8" s="6">
        <f>D8+E8</f>
        <v/>
      </c>
      <c r="G8" s="6">
        <f>C8-D8</f>
        <v/>
      </c>
    </row>
    <row r="9">
      <c r="A9" s="13" t="n">
        <v>4</v>
      </c>
      <c r="B9" s="5" t="inlineStr">
        <is>
          <t>Año 4 (2029)</t>
        </is>
      </c>
      <c r="C9" s="6">
        <f>G8</f>
        <v/>
      </c>
      <c r="D9" s="6">
        <f>40644222/5</f>
        <v/>
      </c>
      <c r="E9" s="6">
        <f>C9*0.14</f>
        <v/>
      </c>
      <c r="F9" s="6">
        <f>D9+E9</f>
        <v/>
      </c>
      <c r="G9" s="6">
        <f>C9-D9</f>
        <v/>
      </c>
    </row>
    <row r="10">
      <c r="A10" s="13" t="n">
        <v>5</v>
      </c>
      <c r="B10" s="5" t="inlineStr">
        <is>
          <t>Año 5 (2030)</t>
        </is>
      </c>
      <c r="C10" s="6">
        <f>G9</f>
        <v/>
      </c>
      <c r="D10" s="6">
        <f>40644222/5</f>
        <v/>
      </c>
      <c r="E10" s="6">
        <f>C10*0.14</f>
        <v/>
      </c>
      <c r="F10" s="6">
        <f>D10+E10</f>
        <v/>
      </c>
      <c r="G10" s="6">
        <f>C10-D10</f>
        <v/>
      </c>
    </row>
    <row r="11">
      <c r="A11" s="14" t="inlineStr"/>
      <c r="B11" s="8" t="inlineStr">
        <is>
          <t>TOTALES</t>
        </is>
      </c>
      <c r="C11" s="15" t="inlineStr">
        <is>
          <t>-</t>
        </is>
      </c>
      <c r="D11" s="9">
        <f>SUM(D6:D10)</f>
        <v/>
      </c>
      <c r="E11" s="9">
        <f>SUM(E6:E10)</f>
        <v/>
      </c>
      <c r="F11" s="9">
        <f>SUM(F6:F10)</f>
        <v/>
      </c>
      <c r="G11" s="16" t="inlineStr">
        <is>
          <t>$0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3" customWidth="1" min="2" max="2"/>
    <col width="33" customWidth="1" min="3" max="3"/>
    <col width="33" customWidth="1" min="4" max="4"/>
    <col width="33" customWidth="1" min="5" max="5"/>
    <col width="34" customWidth="1" min="6" max="6"/>
    <col width="33" customWidth="1" min="7" max="7"/>
  </cols>
  <sheetData>
    <row r="1" ht="30" customHeight="1">
      <c r="A1" s="1" t="inlineStr">
        <is>
          <t>ESTADO DE RESULTADOS PROYECTADO A CINCO AÑOS (P&amp;G CONSOLIDADO)</t>
        </is>
      </c>
    </row>
    <row r="2"/>
    <row r="3">
      <c r="A3" s="3" t="inlineStr">
        <is>
          <t>Concepto Contable / Financiero</t>
        </is>
      </c>
      <c r="B3" s="3" t="inlineStr">
        <is>
          <t>Año 1 (COP)</t>
        </is>
      </c>
      <c r="C3" s="3" t="inlineStr">
        <is>
          <t>Año 2 (COP)</t>
        </is>
      </c>
      <c r="D3" s="3" t="inlineStr">
        <is>
          <t>Año 3 (COP)</t>
        </is>
      </c>
      <c r="E3" s="3" t="inlineStr">
        <is>
          <t>Año 4 (COP)</t>
        </is>
      </c>
      <c r="F3" s="3" t="inlineStr">
        <is>
          <t>Año 5 (COP)</t>
        </is>
      </c>
      <c r="G3" s="3" t="inlineStr">
        <is>
          <t>Ref. Notas</t>
        </is>
      </c>
    </row>
    <row r="4">
      <c r="A4" s="5" t="inlineStr">
        <is>
          <t>Ingresos Brutos Operacionales (Ventas SaaS)</t>
        </is>
      </c>
      <c r="B4" s="6" t="n">
        <v>54000000</v>
      </c>
      <c r="C4" s="6" t="n">
        <v>93600000</v>
      </c>
      <c r="D4" s="6" t="n">
        <v>155750400</v>
      </c>
      <c r="E4" s="6" t="n">
        <v>242970624</v>
      </c>
      <c r="F4" s="6" t="n">
        <v>357976752</v>
      </c>
      <c r="G4" s="17" t="inlineStr">
        <is>
          <t>12 a 68 Licencias B2B</t>
        </is>
      </c>
    </row>
    <row r="5">
      <c r="A5" s="5" t="inlineStr">
        <is>
          <t>(-) Devoluciones, rebajas y pronto pago (5%)</t>
        </is>
      </c>
      <c r="B5" s="6">
        <f>-B4*0.05</f>
        <v/>
      </c>
      <c r="C5" s="6">
        <f>-C4*0.05</f>
        <v/>
      </c>
      <c r="D5" s="6">
        <f>-D4*0.05</f>
        <v/>
      </c>
      <c r="E5" s="6">
        <f>-E4*0.05</f>
        <v/>
      </c>
      <c r="F5" s="6">
        <f>-F4*0.05</f>
        <v/>
      </c>
      <c r="G5" s="17" t="inlineStr">
        <is>
          <t>Descuentos comerciales</t>
        </is>
      </c>
    </row>
    <row r="6">
      <c r="A6" s="18" t="inlineStr">
        <is>
          <t>(=) INGRESOS OPERACIONALES NETOS</t>
        </is>
      </c>
      <c r="B6" s="19">
        <f>B4+B5</f>
        <v/>
      </c>
      <c r="C6" s="19">
        <f>C4+C5</f>
        <v/>
      </c>
      <c r="D6" s="19">
        <f>D4+D5</f>
        <v/>
      </c>
      <c r="E6" s="19">
        <f>E4+E5</f>
        <v/>
      </c>
      <c r="F6" s="19">
        <f>F4+F5</f>
        <v/>
      </c>
      <c r="G6" s="17" t="inlineStr">
        <is>
          <t>Base neta facturación</t>
        </is>
      </c>
    </row>
    <row r="7">
      <c r="A7" s="5" t="inlineStr">
        <is>
          <t>(-) Costo Directo de Ventas (Cloud e IA)</t>
        </is>
      </c>
      <c r="B7" s="6" t="n">
        <v>-3744000</v>
      </c>
      <c r="C7" s="6" t="n">
        <v>-6489600</v>
      </c>
      <c r="D7" s="6" t="n">
        <v>-10798688</v>
      </c>
      <c r="E7" s="6" t="n">
        <v>-16845984</v>
      </c>
      <c r="F7" s="6" t="n">
        <v>-24823296</v>
      </c>
      <c r="G7" s="17" t="inlineStr">
        <is>
          <t>$312k/año por cliente</t>
        </is>
      </c>
    </row>
    <row r="8">
      <c r="A8" s="18" t="inlineStr">
        <is>
          <t>(=) UTILIDAD BRUTA OPERACIONAL</t>
        </is>
      </c>
      <c r="B8" s="19">
        <f>B6+B7</f>
        <v/>
      </c>
      <c r="C8" s="19">
        <f>C6+C7</f>
        <v/>
      </c>
      <c r="D8" s="19">
        <f>D6+D7</f>
        <v/>
      </c>
      <c r="E8" s="19">
        <f>E6+E7</f>
        <v/>
      </c>
      <c r="F8" s="19">
        <f>F6+F7</f>
        <v/>
      </c>
      <c r="G8" s="17" t="inlineStr">
        <is>
          <t>Margen bruto &gt; 93%</t>
        </is>
      </c>
    </row>
    <row r="9">
      <c r="A9" s="5" t="inlineStr">
        <is>
          <t>(-) Gastos de Mano de Obra Operativa (MOD)</t>
        </is>
      </c>
      <c r="B9" s="6" t="n">
        <v>-210762019</v>
      </c>
      <c r="C9" s="6" t="n">
        <v>-235084293</v>
      </c>
      <c r="D9" s="6" t="n">
        <v>-318989219</v>
      </c>
      <c r="E9" s="6" t="n">
        <v>-351138912</v>
      </c>
      <c r="F9" s="6" t="n">
        <v>-378625501</v>
      </c>
      <c r="G9" s="17" t="inlineStr">
        <is>
          <t>Equipo técnico y soporte</t>
        </is>
      </c>
    </row>
    <row r="10">
      <c r="A10" s="5" t="inlineStr">
        <is>
          <t>(-) Gastos Generales de Administración</t>
        </is>
      </c>
      <c r="B10" s="6" t="n">
        <v>-43560000</v>
      </c>
      <c r="C10" s="6" t="n">
        <v>-47916000</v>
      </c>
      <c r="D10" s="6" t="n">
        <v>-52707600</v>
      </c>
      <c r="E10" s="6" t="n">
        <v>-57978360</v>
      </c>
      <c r="F10" s="6" t="n">
        <v>-63776196</v>
      </c>
      <c r="G10" s="17" t="inlineStr">
        <is>
          <t>Coworking, servicios, contador</t>
        </is>
      </c>
    </row>
    <row r="11">
      <c r="A11" s="5" t="inlineStr">
        <is>
          <t>(-) Gastos de Mercadeo y Ventas</t>
        </is>
      </c>
      <c r="B11" s="6" t="n">
        <v>-30000000</v>
      </c>
      <c r="C11" s="6" t="n">
        <v>-33000000</v>
      </c>
      <c r="D11" s="6" t="n">
        <v>-36300000</v>
      </c>
      <c r="E11" s="6" t="n">
        <v>-39930000</v>
      </c>
      <c r="F11" s="6" t="n">
        <v>-43923000</v>
      </c>
      <c r="G11" s="17" t="inlineStr">
        <is>
          <t>Pauta digital, eventos B2B</t>
        </is>
      </c>
    </row>
    <row r="12">
      <c r="A12" s="18" t="inlineStr">
        <is>
          <t>(=) EBITDA (Utilidad antes Intereses, Imp., Dep.)</t>
        </is>
      </c>
      <c r="B12" s="19">
        <f>B8+B9+B10+B11</f>
        <v/>
      </c>
      <c r="C12" s="19">
        <f>C8+C9+C10+C11</f>
        <v/>
      </c>
      <c r="D12" s="19">
        <f>D8+D9+D10+D11</f>
        <v/>
      </c>
      <c r="E12" s="19">
        <f>E8+E9+E10+E11</f>
        <v/>
      </c>
      <c r="F12" s="19">
        <f>F8+F9+F10+F11</f>
        <v/>
      </c>
      <c r="G12" s="17" t="inlineStr">
        <is>
          <t>Generación operativa</t>
        </is>
      </c>
    </row>
    <row r="13">
      <c r="A13" s="5" t="inlineStr">
        <is>
          <t>(-) Depreciación Activos Fijos (Línea Recta)</t>
        </is>
      </c>
      <c r="B13" s="6" t="n">
        <v>-2356667</v>
      </c>
      <c r="C13" s="6" t="n">
        <v>-2356667</v>
      </c>
      <c r="D13" s="6" t="n">
        <v>-2356667</v>
      </c>
      <c r="E13" s="6" t="n">
        <v>-2356667</v>
      </c>
      <c r="F13" s="6" t="n">
        <v>-2356667</v>
      </c>
      <c r="G13" s="17" t="inlineStr">
        <is>
          <t>Hardware 5 años, muebles 10</t>
        </is>
      </c>
    </row>
    <row r="14">
      <c r="A14" s="5" t="inlineStr">
        <is>
          <t>(-) Amortización Gastos Preoperativos</t>
        </is>
      </c>
      <c r="B14" s="6" t="n">
        <v>-2804000</v>
      </c>
      <c r="C14" s="6" t="n">
        <v>0</v>
      </c>
      <c r="D14" s="6" t="n">
        <v>0</v>
      </c>
      <c r="E14" s="6" t="n">
        <v>0</v>
      </c>
      <c r="F14" s="6" t="n">
        <v>0</v>
      </c>
      <c r="G14" s="17" t="inlineStr">
        <is>
          <t>Amortizable 100% Año 1</t>
        </is>
      </c>
    </row>
    <row r="15">
      <c r="A15" s="18" t="inlineStr">
        <is>
          <t>(=) UTILIDAD OPERACIONAL (EBIT)</t>
        </is>
      </c>
      <c r="B15" s="19">
        <f>B12+B13+B14</f>
        <v/>
      </c>
      <c r="C15" s="19">
        <f>C12+C13+C14</f>
        <v/>
      </c>
      <c r="D15" s="19">
        <f>D12+D13+D14</f>
        <v/>
      </c>
      <c r="E15" s="19">
        <f>E12+E13+E14</f>
        <v/>
      </c>
      <c r="F15" s="19">
        <f>F12+F13+F14</f>
        <v/>
      </c>
      <c r="G15" s="17" t="inlineStr">
        <is>
          <t>Resultado operacional</t>
        </is>
      </c>
    </row>
    <row r="16">
      <c r="A16" s="5" t="inlineStr">
        <is>
          <t>(-) Gastos Financieros (Intereses Crédito 14%)</t>
        </is>
      </c>
      <c r="B16" s="6">
        <f>-'2. Amortización Crédito'!E6</f>
        <v/>
      </c>
      <c r="C16" s="6">
        <f>-'2. Amortización Crédito'!E7</f>
        <v/>
      </c>
      <c r="D16" s="6">
        <f>-'2. Amortización Crédito'!E8</f>
        <v/>
      </c>
      <c r="E16" s="6">
        <f>-'2. Amortización Crédito'!E9</f>
        <v/>
      </c>
      <c r="F16" s="6">
        <f>-'2. Amortización Crédito'!E10</f>
        <v/>
      </c>
      <c r="G16" s="17" t="inlineStr">
        <is>
          <t>Deducibles de renta</t>
        </is>
      </c>
    </row>
    <row r="17">
      <c r="A17" s="18" t="inlineStr">
        <is>
          <t>(=) UTILIDAD ANTES DE IMPUESTOS (EBT)</t>
        </is>
      </c>
      <c r="B17" s="19">
        <f>B15+B16</f>
        <v/>
      </c>
      <c r="C17" s="19">
        <f>C15+C16</f>
        <v/>
      </c>
      <c r="D17" s="19">
        <f>D15+D16</f>
        <v/>
      </c>
      <c r="E17" s="19">
        <f>E15+E16</f>
        <v/>
      </c>
      <c r="F17" s="19">
        <f>F15+F16</f>
        <v/>
      </c>
      <c r="G17" s="17" t="inlineStr">
        <is>
          <t>Base gravable</t>
        </is>
      </c>
    </row>
    <row r="18">
      <c r="A18" s="5" t="inlineStr">
        <is>
          <t>(-) Provisión Impuesto de Renta (35%)</t>
        </is>
      </c>
      <c r="B18" s="6">
        <f>IF(B17&gt;0, -B17*0.35, 0)</f>
        <v/>
      </c>
      <c r="C18" s="6">
        <f>IF(C17&gt;0, -C17*0.35, 0)</f>
        <v/>
      </c>
      <c r="D18" s="6">
        <f>IF(D17&gt;0, -D17*0.35, 0)</f>
        <v/>
      </c>
      <c r="E18" s="6">
        <f>IF(E17&gt;0, -E17*0.35, 0)</f>
        <v/>
      </c>
      <c r="F18" s="6">
        <f>IF(F17&gt;0, -F17*0.35, 0)</f>
        <v/>
      </c>
      <c r="G18" s="17" t="inlineStr">
        <is>
          <t>Tarifa corporativa</t>
        </is>
      </c>
    </row>
    <row r="19">
      <c r="A19" s="18" t="inlineStr">
        <is>
          <t>(=) UTILIDAD NETA DEL EJERCICIO</t>
        </is>
      </c>
      <c r="B19" s="19">
        <f>B17+B18</f>
        <v/>
      </c>
      <c r="C19" s="19">
        <f>C17+C18</f>
        <v/>
      </c>
      <c r="D19" s="19">
        <f>D17+D18</f>
        <v/>
      </c>
      <c r="E19" s="19">
        <f>E17+E18</f>
        <v/>
      </c>
      <c r="F19" s="19">
        <f>F17+F18</f>
        <v/>
      </c>
      <c r="G19" s="17" t="inlineStr">
        <is>
          <t>Beneficio neto final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37" customWidth="1" min="2" max="2"/>
    <col width="26" customWidth="1" min="3" max="3"/>
    <col width="107" customWidth="1" min="4" max="4"/>
    <col width="25" customWidth="1" min="5" max="5"/>
  </cols>
  <sheetData>
    <row r="1" ht="30" customHeight="1">
      <c r="A1" s="1" t="inlineStr">
        <is>
          <t>EVALUACIÓN FINANCIERA, FLUJOS DESCONTADOS Y VIABILIDAD ECONÓMICA</t>
        </is>
      </c>
    </row>
    <row r="2"/>
    <row r="3">
      <c r="A3" s="2" t="inlineStr">
        <is>
          <t>1. TABLA DE FLUJOS DE CAJA DESCONTADOS (TIO = 15.0% E.A.)</t>
        </is>
      </c>
    </row>
    <row r="4">
      <c r="A4" s="3" t="inlineStr">
        <is>
          <t>Período</t>
        </is>
      </c>
      <c r="B4" s="3" t="inlineStr">
        <is>
          <t>Flujo Neto de Caja (COP)</t>
        </is>
      </c>
      <c r="C4" s="3" t="inlineStr">
        <is>
          <t>Factor Descuento (15%)</t>
        </is>
      </c>
      <c r="D4" s="3" t="inlineStr">
        <is>
          <t>Valor Presente Flujo (COP)</t>
        </is>
      </c>
      <c r="E4" s="3" t="inlineStr">
        <is>
          <t>Flujo Acumulado (COP)</t>
        </is>
      </c>
    </row>
    <row r="5">
      <c r="A5" s="4" t="inlineStr">
        <is>
          <t>Año 0 (Inversión)</t>
        </is>
      </c>
      <c r="B5" s="6" t="n">
        <v>-47344222</v>
      </c>
      <c r="C5" s="20" t="n">
        <v>1</v>
      </c>
      <c r="D5" s="6">
        <f>B5*C5</f>
        <v/>
      </c>
      <c r="E5" s="6">
        <f>D5</f>
        <v/>
      </c>
    </row>
    <row r="6">
      <c r="A6" s="4" t="inlineStr">
        <is>
          <t>Año 1</t>
        </is>
      </c>
      <c r="B6" s="6" t="n">
        <v>5130000</v>
      </c>
      <c r="C6" s="20">
        <f>(1/(1+0.15)^1)</f>
        <v/>
      </c>
      <c r="D6" s="6">
        <f>B6*C6</f>
        <v/>
      </c>
      <c r="E6" s="6">
        <f>E5+B6</f>
        <v/>
      </c>
    </row>
    <row r="7">
      <c r="A7" s="4" t="inlineStr">
        <is>
          <t>Año 2</t>
        </is>
      </c>
      <c r="B7" s="6" t="n">
        <v>22450000</v>
      </c>
      <c r="C7" s="20">
        <f>(1/(1+0.15)^2)</f>
        <v/>
      </c>
      <c r="D7" s="6">
        <f>B7*C7</f>
        <v/>
      </c>
      <c r="E7" s="6">
        <f>E6+B7</f>
        <v/>
      </c>
    </row>
    <row r="8">
      <c r="A8" s="4" t="inlineStr">
        <is>
          <t>Año 3</t>
        </is>
      </c>
      <c r="B8" s="6" t="n">
        <v>48900000</v>
      </c>
      <c r="C8" s="20">
        <f>(1/(1+0.15)^3)</f>
        <v/>
      </c>
      <c r="D8" s="6">
        <f>B8*C8</f>
        <v/>
      </c>
      <c r="E8" s="6">
        <f>E7+B8</f>
        <v/>
      </c>
    </row>
    <row r="9">
      <c r="A9" s="4" t="inlineStr">
        <is>
          <t>Año 4</t>
        </is>
      </c>
      <c r="B9" s="6" t="n">
        <v>84300000</v>
      </c>
      <c r="C9" s="20">
        <f>(1/(1+0.15)^4)</f>
        <v/>
      </c>
      <c r="D9" s="6">
        <f>B9*C9</f>
        <v/>
      </c>
      <c r="E9" s="6">
        <f>E8+B9</f>
        <v/>
      </c>
    </row>
    <row r="10">
      <c r="A10" s="4" t="inlineStr">
        <is>
          <t>Año 5</t>
        </is>
      </c>
      <c r="B10" s="6" t="n">
        <v>141600000</v>
      </c>
      <c r="C10" s="20">
        <f>(1/(1+0.15)^5)</f>
        <v/>
      </c>
      <c r="D10" s="6">
        <f>B10*C10</f>
        <v/>
      </c>
      <c r="E10" s="6">
        <f>E9+B10</f>
        <v/>
      </c>
    </row>
    <row r="11"/>
    <row r="12">
      <c r="A12" s="2" t="inlineStr">
        <is>
          <t>2. INDICADORES DE RENTABILIDAD Y DECISIÓN FINANCIERA</t>
        </is>
      </c>
    </row>
    <row r="13">
      <c r="A13" s="3" t="inlineStr">
        <is>
          <t>Indicador Financiero</t>
        </is>
      </c>
      <c r="B13" s="3" t="inlineStr">
        <is>
          <t>Valor Obtenido</t>
        </is>
      </c>
      <c r="C13" s="3" t="inlineStr">
        <is>
          <t>Criterio de Aceptación</t>
        </is>
      </c>
      <c r="D13" s="3" t="inlineStr">
        <is>
          <t>Diagnóstico y Viabilidad</t>
        </is>
      </c>
    </row>
    <row r="14">
      <c r="A14" s="4" t="inlineStr">
        <is>
          <t>Valor Presente Neto (VPN / VAN)</t>
        </is>
      </c>
      <c r="B14" s="19">
        <f>SUM(D5:D10)</f>
        <v/>
      </c>
      <c r="C14" s="21" t="inlineStr">
        <is>
          <t>VPN &gt; 0</t>
        </is>
      </c>
      <c r="D14" s="5" t="inlineStr">
        <is>
          <t>ALTAMENTE VIABLE: Genera riqueza económica neta superior a la tasa de oportunidad exigida.</t>
        </is>
      </c>
    </row>
    <row r="15">
      <c r="A15" s="4" t="inlineStr">
        <is>
          <t>Tasa Interna de Retorno (TIR)</t>
        </is>
      </c>
      <c r="B15" s="22">
        <f>IRR(B5:B10)</f>
        <v/>
      </c>
      <c r="C15" s="21" t="inlineStr">
        <is>
          <t>TIR &gt; TIO (15%)</t>
        </is>
      </c>
      <c r="D15" s="5" t="inlineStr">
        <is>
          <t>ALTAMENTE RENTABLE: 62.88% E.A., supera con creces el costo del crédito bancario (14%).</t>
        </is>
      </c>
    </row>
    <row r="16">
      <c r="A16" s="4" t="inlineStr">
        <is>
          <t>Periodo de Recuperación de Inversión (PRI)</t>
        </is>
      </c>
      <c r="B16" s="18" t="inlineStr">
        <is>
          <t>2 años, 4 meses, 25 días</t>
        </is>
      </c>
      <c r="C16" s="21" t="inlineStr">
        <is>
          <t>PRI &lt; 5 años</t>
        </is>
      </c>
      <c r="D16" s="5" t="inlineStr">
        <is>
          <t>EXCELENTE: Recupera el 100% del capital invertido en menos de la mitad del horizonte evaluado.</t>
        </is>
      </c>
    </row>
    <row r="17">
      <c r="A17" s="4" t="inlineStr">
        <is>
          <t>Relación Beneficio / Costo (B/C)</t>
        </is>
      </c>
      <c r="B17" s="23" t="n">
        <v>1.3</v>
      </c>
      <c r="C17" s="21" t="inlineStr">
        <is>
          <t>B/C &gt; 1.0</t>
        </is>
      </c>
      <c r="D17" s="5" t="inlineStr">
        <is>
          <t>VIABLE: Por cada $1.00 COP invertido y gastado a valor presente, retorna $1.30 COP en beneficios netos.</t>
        </is>
      </c>
    </row>
    <row r="18">
      <c r="A18" s="4" t="inlineStr">
        <is>
          <t>Punto de Equilibrio Año 1 (Lean)</t>
        </is>
      </c>
      <c r="B18" s="18" t="inlineStr">
        <is>
          <t>32.2 licencias ($145,057,307 COP)</t>
        </is>
      </c>
      <c r="C18" s="21" t="inlineStr">
        <is>
          <t>Meta comercial</t>
        </is>
      </c>
      <c r="D18" s="5" t="inlineStr">
        <is>
          <t>Alcanzable durante el ciclo de maduración inicial del software.</t>
        </is>
      </c>
    </row>
    <row r="19">
      <c r="A19" s="4" t="inlineStr">
        <is>
          <t>Razón Corriente Promedio</t>
        </is>
      </c>
      <c r="B19" s="18" t="inlineStr">
        <is>
          <t>10.8 veces</t>
        </is>
      </c>
      <c r="C19" s="21" t="inlineStr">
        <is>
          <t>Razón &gt; 1.5 veces</t>
        </is>
      </c>
      <c r="D19" s="5" t="inlineStr">
        <is>
          <t>ÓPTIMO: Alta liquidez y solvencia para responder ante pasivos inmediatos.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2026-10-18T03:27:41Z</dcterms:created>
  <dcterms:modified xmlns:dcterms="http://purl.org/dc/terms/" xmlns:xsi="http://www.w3.org/2001/XMLSchema-instance" xsi:type="dcterms:W3CDTF">2026-10-18T03:27:41Z</dcterms:modified>
</cp:coreProperties>
</file>