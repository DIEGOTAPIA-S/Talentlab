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ntiago Castañeda\Downloads\"/>
    </mc:Choice>
  </mc:AlternateContent>
  <xr:revisionPtr revIDLastSave="0" documentId="8_{8E818715-0928-484B-A41A-0DCEADF6C0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itacora" sheetId="6" r:id="rId1"/>
    <sheet name="BD_SENA" sheetId="9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Bitacora!$A$1:$I$82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K2" i="9" a="1"/>
  <c r="K2" i="9" s="1"/>
  <c r="J2" i="9" a="1"/>
  <c r="J2" i="9" s="1"/>
  <c r="I2" i="9" a="1"/>
  <c r="I2" i="9" s="1"/>
  <c r="H2" i="9" a="1"/>
  <c r="H2" i="9" s="1"/>
  <c r="G2" i="9" a="1"/>
  <c r="G2" i="9" s="1"/>
  <c r="E2" i="9" a="1"/>
  <c r="E2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<sst xmlns="http://schemas.openxmlformats.org/spreadsheetml/2006/main" count="267" uniqueCount="194">
  <si>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</si>
  <si>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</si>
  <si>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</si>
  <si>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</si>
  <si>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</si>
  <si>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</si>
  <si>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</si>
  <si>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</si>
  <si>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</si>
  <si>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</si>
  <si>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</si>
  <si>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</si>
  <si>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12/06/2026 hasta 12/07/2026</t>
  </si>
  <si>
    <t>Datos del aprendiz</t>
  </si>
  <si>
    <t>Nombre completo del aprendiz</t>
  </si>
  <si>
    <t>Tipo de documento</t>
  </si>
  <si>
    <t>Número de identificación</t>
  </si>
  <si>
    <t>Contacto telefónico</t>
  </si>
  <si>
    <t>Diego Alfonso Tapia Salazar</t>
  </si>
  <si>
    <t>Cedula de ciudadania</t>
  </si>
  <si>
    <t>Correo electrónico institucional</t>
  </si>
  <si>
    <t>Correo electrónico personal</t>
  </si>
  <si>
    <t>Dirección de residencia</t>
  </si>
  <si>
    <t>diegoa_tapias@soy.sena.edu.co</t>
  </si>
  <si>
    <t>diegotapia.s@hotmail.com</t>
  </si>
  <si>
    <t>Cra 80 D #7B 83 Torre 2 Apto 604</t>
  </si>
  <si>
    <t>Número de grupo</t>
  </si>
  <si>
    <t xml:space="preserve">Modalidad de formación </t>
  </si>
  <si>
    <t>Programa de formación</t>
  </si>
  <si>
    <t>Tecnólogo</t>
  </si>
  <si>
    <t>Análisis y Desarrollo de Software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</si>
  <si>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</si>
  <si>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</si>
  <si>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</si>
  <si>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Presencial</t>
  </si>
  <si>
    <t>No</t>
  </si>
  <si>
    <t>Colombia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</si>
  <si>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</si>
  <si>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</si>
  <si>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</si>
  <si>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</si>
  <si>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Servicio Nacional de Aprendizaje - SENA</t>
  </si>
  <si>
    <t>899.999.034-01</t>
  </si>
  <si>
    <t>Carrera 13 # 65 - 10 Centro de Servicios Financieros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</si>
  <si>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</si>
  <si>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</si>
  <si>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</si>
  <si>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</si>
  <si>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</si>
  <si>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John Fernando Mendez Medina</t>
  </si>
  <si>
    <t>Instructor acompañamiento etapa productiva</t>
  </si>
  <si>
    <t>jfmendez@sena.edu.co</t>
  </si>
  <si>
    <t>Datos del instructor de seguimiento</t>
  </si>
  <si>
    <t>Nombre completo del instructor de seguimiento</t>
  </si>
  <si>
    <t>Correo electrónico del instructor de seguimiento</t>
  </si>
  <si>
    <t>SERGIO ANDRES TORRES MARTINEZ</t>
  </si>
  <si>
    <t>satorres@sena.edu.co   /    storres@timespanish.com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</si>
  <si>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</si>
  <si>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</si>
  <si>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</si>
  <si>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</si>
  <si>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</si>
  <si>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</si>
  <si>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</si>
  <si>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X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</si>
  <si>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</si>
  <si>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</si>
  <si>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</si>
  <si>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</si>
  <si>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</si>
  <si>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</si>
  <si>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</si>
  <si>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</si>
  <si>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</si>
  <si>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>Se aplica instrumento de recolección de datos de acuerdo  al cálculo de la muestra y se procede a realizar análisis de datos y conclusiones de los mismos, y se realiza la estructuración del diseño y maquetación de la landing page principal en el frontend del prototipo.</t>
  </si>
  <si>
    <t>38392 - Establecer requisitos de la solución de software de acuerdo con estándares y procedimiento técnico</t>
  </si>
  <si>
    <t>Documento Proyecto Talent Lab: Trabajo de campo aplicando la encuesta al mercado 
Planeación Stack del prototipo</t>
  </si>
  <si>
    <t>Se procesaron las respuestas de las encuestas aplicadas a la muestra, identificando que el 78% de las instituciones ve necesaria una herramienta de prevención de deserción. En cuanto al prototipo, se implementó la estructura HTML/CSS de la landing page en React con la identidad corporativa de TalentLab, usando la tipografía Inter/Outfit y un diseño oscuro con estilo glassmorphism.</t>
  </si>
  <si>
    <t>Se determinan los resultados de aplicación dela investigación de mercado, así mismo se determina las necesidades y expectativas de la demanda, identificando las caracteristicas del servicio y estimado en el mercado potencial , así como la migración y codificación en React de la interfaz de inicio de sesión (Login) con redirección de usuarios por roles.</t>
  </si>
  <si>
    <t>38368 - Desarrollar la solución de software de acuerdo con el diseño y metodologías de desarrollo</t>
  </si>
  <si>
    <t>Documento Proyecto Talent Lab: 
Planeación Stack del prototipo</t>
  </si>
  <si>
    <t>Se consolidó la segmentación de la demanda mediante el cálculo del mercado potencial (TAM, SAM, SOM) delimitado a 80 instituciones privadas de Bogotá. A nivel de prototipo, se codificó el componente Login en React conectándolo con el endpoint '/api/auth/login' de FastAPI, permitiendo el acceso diferenciado para el estudiante y el administrador.</t>
  </si>
  <si>
    <t>Se realiza el análisis de la competencia, nacional y externa, así como las fortalezas y debilidades del proyecto (prototipo) frente a otras posibilidades dentro del sector y/o servicios , y se desarrolla la interfaz del dashboard interactivo para el panel del coordinador de permanencia en el prototipo</t>
  </si>
  <si>
    <t>38362 - Diseñar la solución de software de acuerdo con procedimientos y requisitos técnicos</t>
  </si>
  <si>
    <t>Documento Proyecto Talent Lab: Análisis de la competencia</t>
  </si>
  <si>
    <t>Se completó la matriz comparativa frente a competidores directos (Territorium, U-Planner) y se delimitaron las 5 debilidades iniciales del proyecto. En el prototipo, se codificó la interfaz del panel institucional B2B, consumiendo el endpoint '/api/dashboard/risk-semaphore' para mostrar el semáforo predictivo de riesgo estudiantil en tiempo real.</t>
  </si>
  <si>
    <t xml:space="preserve">Se plantean estrategias de mercado, ventas, distribución y precio, así mismo se identifican controles de mitigación frente a debilidades y desventajas frente a la competencia , a la vez que se codifica e integra en el prototipo la interfaz del simulador interactivo de entrevistas laborales con retroalimentación en tiempo real.
</t>
  </si>
  <si>
    <t>Documento Proyecto Talent Lab: Estrategias de mercado</t>
  </si>
  <si>
    <t>Se definieron el concepto del producto SaaS, el cubrimiento geográfico de distribución y el plan de mitigación para las debilidades del producto. A nivel técnico, se implementó la pantalla de entrenamiento B2C (simulador de entrevistas) en React y su enlace con la API '/api/interview/simulate' en FastAPI para evaluar el desempeño del estudiante.</t>
  </si>
  <si>
    <t>Se plantean estrategias de mercado, ventas, distribución y precio, así mismo se identifican controles de mitigación frente a debilidades y desventajas frente a la competencia , y se realizan pruebas de integración cliente-servidor (CORS) .</t>
  </si>
  <si>
    <t>Documento Proyecto Talent Lab: Estrategias de mercado, venta,  precio, distribución y controles</t>
  </si>
  <si>
    <t>Se establecieron las estrategias de precio (COP $4,500,000 anuales), políticas de promoción/comunicación, atención al cliente (SLA de 4/24 horas) y el presupuesto de mercadeo del primer año (COP $7,340,000). En el prototipo, se configuraron los encabezados CORS en FastAPI para la comunicación segura con React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</si>
  <si>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</si>
  <si>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</si>
  <si>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</si>
  <si>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</si>
  <si>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</si>
  <si>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</si>
  <si>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</si>
  <si>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</si>
  <si>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Si</t>
  </si>
  <si>
    <t>¿El aprendiz cuenta con los elementos de protección personal (EPP), requeridos para desarrollar su etapa productiva?</t>
  </si>
  <si>
    <t>SI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</si>
  <si>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</si>
  <si>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</si>
  <si>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</si>
  <si>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</si>
  <si>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</si>
  <si>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</si>
  <si>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</si>
  <si>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</si>
  <si>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PROGRAMA</t>
  </si>
  <si>
    <t>COMPETENCIA</t>
  </si>
  <si>
    <t>RESULTADO DE APRENDIZAJE (RAP)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</si>
  <si>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</si>
  <si>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</si>
  <si>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</si>
  <si>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</si>
  <si>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38376 - Evaluar requisitos de la solución de software de acuerdo con metodologías de análisis y estándares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</si>
  <si>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</si>
  <si>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</si>
  <si>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</si>
  <si>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592373 - 02 MODELAR LAS FUNCIONES DEL SOFTWARE DE ACUERDO CON EL INFORME DE REQUISITOS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</si>
  <si>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</si>
  <si>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</si>
  <si>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</si>
  <si>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</si>
  <si>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593107 - 02 CONSTRUIR LA BASE DE DATOS PARA EL SOFTWARE A PARTIR DEL MODELO DE DATOS</t>
  </si>
  <si>
    <t>593106 - 01 PLANEAR ACTIVIDADES DE CONSTRUCCIÓN DEL SOFTWARE DE ACUERDO CON EL DISEÑO ESTABLECIDO</t>
  </si>
  <si>
    <t>593104 - 03 CREAR COMPONENTES FRONT-END DEL SOFTWARE DE ACUERDO CON EL DISEÑO</t>
  </si>
  <si>
    <t>593108 - 04 CODIFICAR EL SOFTWARE DE ACUERDO CON EL DISEÑO ESTABLECIDO</t>
  </si>
  <si>
    <t>593105 - 05 REALIZAR PRUEBAS AL SOFTWARE PARA VERIFICAR SU FUNCIONALIDAD</t>
  </si>
  <si>
    <t>38369 - Controlar la calidad del servicio de software de acuerdo con los estándares técnicos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</si>
  <si>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</si>
  <si>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</si>
  <si>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</si>
  <si>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38367 - Estructurar propuesta técnica de servicio de tecnología de la información según requisitos técnicos y normativa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</si>
  <si>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</si>
  <si>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</si>
  <si>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38356 - Implementar la solución de software de acuerdo con los requisitos de operación y modelos de referencia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</si>
  <si>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</si>
  <si>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</si>
  <si>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</si>
  <si>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</si>
  <si>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Programación de Software</t>
  </si>
  <si>
    <t>220501095 - Construir el sistema de información de acuerdo con el diseño y estándares técnicos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</si>
  <si>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</si>
  <si>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</si>
  <si>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220501095-03 Integrar los componentes del software según la arquitectura definida</t>
  </si>
  <si>
    <t>220501095-04 Realizar las pruebas unitarias a los módulos codificados</t>
  </si>
  <si>
    <t>220501096 - Verificar la calidad del software de acuerdo con el plan de pruebas y estándares</t>
  </si>
  <si>
    <t>220501096-01 Ejecutar las pruebas de software de acuerdo con el plan establecido</t>
  </si>
  <si>
    <t>220501096-02 Reportar los defectos encontrados durante la ejecución de las pruebas</t>
  </si>
  <si>
    <t>220501096-03 Ajustar los entregables de software según los resultados de las pruebas</t>
  </si>
  <si>
    <t>220501097 - Desplegar la solución de software de acuerdo con los requisitos de operación y modelos de referencia</t>
  </si>
  <si>
    <t>220501097-01 Elaborar el plan de despliegue de la solución de software</t>
  </si>
  <si>
    <t>220501097-02 Realizar la instalación y configuración del software en el entorno productivo</t>
  </si>
  <si>
    <t>220501101 - Probar el software desarrollado de acuerdo con el plan de pruebas y especificaciones del cliente</t>
  </si>
  <si>
    <t>220501101-01 Validar el cumplimiento de los requisitos del software</t>
  </si>
  <si>
    <t>220501101-02 Documentar los errores y sugerencias de mejora según protocolos</t>
  </si>
  <si>
    <t>37371 - Utilizar herramientas informáticas de acuerdo con las necesidades de manejo de información</t>
  </si>
  <si>
    <t>593154 - 01 ALISTAR HERRAMIENTAS DE TECNOLOGÍAS DE LA INFORMACIÓN Y LA COMUNICACIÓN (TIC), DE ACUERDO CON LAS NECESIDADES DE PROCESAMIENTO DE INFORMACIÓN Y COMUNICACIÓN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</si>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</sst>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36" fillId="0" borderId="0" applyNumberFormat="0" applyFill="0" applyBorder="0" applyAlignment="0" applyProtection="0"/>
  </cellStyleXfs>
  <cellXfs count="31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2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2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12" fillId="0" borderId="90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3" fillId="0" borderId="88" xfId="0" applyFont="1" applyBorder="1" applyAlignment="1">
      <alignment vertical="center" wrapText="1"/>
    </xf>
    <xf numFmtId="0" fontId="21" fillId="0" borderId="79" xfId="0" applyFont="1" applyBorder="1" applyAlignment="1">
      <alignment horizontal="right" vertical="center"/>
    </xf>
    <xf numFmtId="0" fontId="34" fillId="0" borderId="40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80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5" fillId="0" borderId="105" xfId="0" applyFont="1" applyBorder="1" applyAlignment="1">
      <alignment horizontal="center" vertical="center" wrapText="1"/>
    </xf>
    <xf numFmtId="0" fontId="35" fillId="0" borderId="106" xfId="0" applyFont="1" applyBorder="1" applyAlignment="1">
      <alignment horizontal="center" vertical="center" wrapText="1"/>
    </xf>
    <xf numFmtId="0" fontId="35" fillId="0" borderId="107" xfId="0" applyFont="1" applyBorder="1" applyAlignment="1">
      <alignment horizontal="center" vertical="center" wrapText="1"/>
    </xf>
    <xf numFmtId="0" fontId="35" fillId="0" borderId="108" xfId="0" applyFont="1" applyBorder="1" applyAlignment="1">
      <alignment horizontal="center" vertical="center" wrapText="1"/>
    </xf>
    <xf numFmtId="0" fontId="35" fillId="0" borderId="109" xfId="0" applyFont="1" applyBorder="1" applyAlignment="1">
      <alignment horizontal="center" vertical="center" wrapText="1"/>
    </xf>
    <xf numFmtId="0" fontId="35" fillId="0" borderId="110" xfId="0" applyFont="1" applyBorder="1" applyAlignment="1">
      <alignment horizontal="center" vertical="center" wrapText="1"/>
    </xf>
    <xf numFmtId="0" fontId="35" fillId="0" borderId="111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2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21" fillId="0" borderId="8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3" fillId="2" borderId="0" xfId="0" applyFont="1" applyFill="1" applyAlignment="1">
      <alignment horizontal="center" vertical="center" wrapText="1"/>
    </xf>
    <xf numFmtId="0" fontId="12" fillId="2" borderId="69" xfId="0" applyFont="1" applyFill="1" applyBorder="1" applyAlignment="1">
      <alignment horizontal="center" vertical="center" wrapText="1"/>
    </xf>
    <xf numFmtId="0" fontId="12" fillId="2" borderId="73" xfId="0" applyFont="1" applyFill="1" applyBorder="1" applyAlignment="1">
      <alignment horizontal="center" vertical="center" wrapText="1"/>
    </xf>
    <xf numFmtId="0" fontId="12" fillId="2" borderId="5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60" xfId="0" applyFont="1" applyFill="1" applyBorder="1" applyAlignment="1">
      <alignment horizontal="center" vertical="center" wrapText="1"/>
    </xf>
    <xf numFmtId="0" fontId="12" fillId="2" borderId="51" xfId="0" applyFont="1" applyFill="1" applyBorder="1" applyAlignment="1">
      <alignment horizontal="center" vertical="center" wrapText="1"/>
    </xf>
    <xf numFmtId="0" fontId="12" fillId="2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1" fillId="3" borderId="35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18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0" fontId="9" fillId="2" borderId="18" xfId="0" applyFont="1" applyFill="1" applyBorder="1" applyAlignment="1">
      <alignment horizont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103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0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2" fillId="5" borderId="53" xfId="0" applyFont="1" applyFill="1" applyBorder="1" applyAlignment="1">
      <alignment horizontal="center" vertical="center" wrapText="1"/>
    </xf>
    <xf numFmtId="0" fontId="12" fillId="5" borderId="62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64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8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0" fontId="13" fillId="0" borderId="83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2" borderId="44" xfId="0" applyFont="1" applyFill="1" applyBorder="1" applyAlignment="1">
      <alignment horizontal="center" vertical="center" wrapText="1"/>
    </xf>
    <xf numFmtId="0" fontId="13" fillId="2" borderId="64" xfId="0" applyFont="1" applyFill="1" applyBorder="1" applyAlignment="1">
      <alignment horizontal="center" vertical="center" wrapText="1"/>
    </xf>
    <xf numFmtId="0" fontId="13" fillId="2" borderId="65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3" fillId="2" borderId="83" xfId="0" applyFont="1" applyFill="1" applyBorder="1" applyAlignment="1">
      <alignment horizontal="center" vertical="center" wrapText="1"/>
    </xf>
    <xf numFmtId="0" fontId="13" fillId="2" borderId="84" xfId="0" applyFont="1" applyFill="1" applyBorder="1" applyAlignment="1">
      <alignment horizontal="center" vertical="center" wrapText="1"/>
    </xf>
    <xf numFmtId="0" fontId="24" fillId="5" borderId="53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61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2" fillId="5" borderId="54" xfId="0" applyFont="1" applyFill="1" applyBorder="1" applyAlignment="1">
      <alignment horizontal="center" vertical="center"/>
    </xf>
    <xf numFmtId="0" fontId="12" fillId="5" borderId="62" xfId="0" applyFont="1" applyFill="1" applyBorder="1" applyAlignment="1">
      <alignment horizontal="center" vertical="center"/>
    </xf>
    <xf numFmtId="0" fontId="12" fillId="0" borderId="91" xfId="0" applyFont="1" applyBorder="1" applyAlignment="1">
      <alignment horizontal="center" vertical="center" wrapText="1"/>
    </xf>
    <xf numFmtId="0" fontId="12" fillId="0" borderId="88" xfId="0" applyFont="1" applyBorder="1" applyAlignment="1">
      <alignment horizontal="center" vertical="center" wrapText="1"/>
    </xf>
    <xf numFmtId="0" fontId="12" fillId="0" borderId="92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top" wrapText="1"/>
    </xf>
    <xf numFmtId="0" fontId="12" fillId="0" borderId="43" xfId="0" applyFont="1" applyBorder="1" applyAlignment="1">
      <alignment horizontal="center" vertical="top" wrapText="1"/>
    </xf>
    <xf numFmtId="0" fontId="12" fillId="0" borderId="42" xfId="0" applyFont="1" applyBorder="1" applyAlignment="1">
      <alignment horizontal="center" vertical="center" wrapText="1"/>
    </xf>
    <xf numFmtId="0" fontId="12" fillId="2" borderId="40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3" fillId="0" borderId="95" xfId="0" applyFont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3" fillId="2" borderId="56" xfId="0" applyFont="1" applyFill="1" applyBorder="1" applyAlignment="1">
      <alignment horizontal="center" vertical="center" wrapText="1"/>
    </xf>
    <xf numFmtId="0" fontId="13" fillId="2" borderId="41" xfId="0" applyFont="1" applyFill="1" applyBorder="1" applyAlignment="1">
      <alignment horizontal="center" vertical="center" wrapText="1"/>
    </xf>
    <xf numFmtId="0" fontId="13" fillId="2" borderId="57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1" fillId="3" borderId="44" xfId="0" applyFont="1" applyFill="1" applyBorder="1" applyAlignment="1">
      <alignment horizontal="center" vertical="center"/>
    </xf>
    <xf numFmtId="0" fontId="11" fillId="3" borderId="64" xfId="0" applyFont="1" applyFill="1" applyBorder="1" applyAlignment="1">
      <alignment horizontal="center" vertical="center"/>
    </xf>
    <xf numFmtId="0" fontId="11" fillId="3" borderId="65" xfId="0" applyFont="1" applyFill="1" applyBorder="1" applyAlignment="1">
      <alignment horizontal="center" vertical="center"/>
    </xf>
    <xf numFmtId="0" fontId="12" fillId="0" borderId="56" xfId="0" applyFont="1" applyBorder="1" applyAlignment="1">
      <alignment horizontal="center" vertical="center" wrapText="1"/>
    </xf>
    <xf numFmtId="0" fontId="12" fillId="0" borderId="41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47" xfId="0" applyFont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6" xfId="0" applyFont="1" applyFill="1" applyBorder="1" applyAlignment="1">
      <alignment horizontal="center" vertical="center" wrapText="1"/>
    </xf>
    <xf numFmtId="0" fontId="11" fillId="7" borderId="45" xfId="0" applyFont="1" applyFill="1" applyBorder="1" applyAlignment="1">
      <alignment horizontal="center" vertical="center" wrapText="1"/>
    </xf>
    <xf numFmtId="0" fontId="11" fillId="7" borderId="83" xfId="0" applyFont="1" applyFill="1" applyBorder="1" applyAlignment="1">
      <alignment horizontal="center" vertical="center" wrapText="1"/>
    </xf>
    <xf numFmtId="0" fontId="11" fillId="7" borderId="84" xfId="0" applyFont="1" applyFill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3" fillId="0" borderId="87" xfId="0" applyFont="1" applyBorder="1" applyAlignment="1">
      <alignment horizontal="center" vertical="center" wrapText="1"/>
    </xf>
    <xf numFmtId="0" fontId="13" fillId="0" borderId="88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90" xfId="0" applyFont="1" applyFill="1" applyBorder="1" applyAlignment="1">
      <alignment horizontal="center" vertical="center"/>
    </xf>
    <xf numFmtId="0" fontId="11" fillId="7" borderId="91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4" xfId="0" applyFont="1" applyBorder="1" applyAlignment="1">
      <alignment horizontal="center" vertical="center" wrapText="1"/>
    </xf>
    <xf numFmtId="0" fontId="11" fillId="7" borderId="44" xfId="0" applyFont="1" applyFill="1" applyBorder="1" applyAlignment="1">
      <alignment horizontal="center" vertical="center"/>
    </xf>
    <xf numFmtId="0" fontId="11" fillId="7" borderId="75" xfId="0" applyFont="1" applyFill="1" applyBorder="1" applyAlignment="1">
      <alignment horizontal="center" vertical="center"/>
    </xf>
    <xf numFmtId="0" fontId="11" fillId="7" borderId="76" xfId="0" applyFont="1" applyFill="1" applyBorder="1" applyAlignment="1">
      <alignment horizontal="center" vertical="center"/>
    </xf>
    <xf numFmtId="0" fontId="12" fillId="0" borderId="40" xfId="0" applyFont="1" applyBorder="1" applyAlignment="1">
      <alignment horizontal="center" vertical="center" wrapText="1"/>
    </xf>
    <xf numFmtId="0" fontId="12" fillId="0" borderId="46" xfId="0" applyFont="1" applyBorder="1" applyAlignment="1">
      <alignment horizontal="center" vertical="center" wrapText="1"/>
    </xf>
    <xf numFmtId="0" fontId="12" fillId="0" borderId="68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12" fillId="0" borderId="67" xfId="0" applyFont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36" fillId="0" borderId="46" xfId="1" applyBorder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9" fillId="6" borderId="77" xfId="0" applyFont="1" applyFill="1" applyBorder="1" applyAlignment="1">
      <alignment horizontal="center" vertical="center"/>
    </xf>
    <xf numFmtId="0" fontId="19" fillId="6" borderId="78" xfId="0" applyFont="1" applyFill="1" applyBorder="1" applyAlignment="1">
      <alignment horizontal="center" vertical="center"/>
    </xf>
    <xf numFmtId="0" fontId="19" fillId="6" borderId="97" xfId="0" applyFont="1" applyFill="1" applyBorder="1" applyAlignment="1">
      <alignment horizontal="center" vertical="center"/>
    </xf>
    <xf numFmtId="0" fontId="19" fillId="6" borderId="98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99" xfId="0" applyFont="1" applyFill="1" applyBorder="1" applyAlignment="1">
      <alignment horizontal="center" vertical="center"/>
    </xf>
    <xf numFmtId="0" fontId="20" fillId="0" borderId="98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99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 wrapText="1"/>
    </xf>
    <xf numFmtId="0" fontId="13" fillId="0" borderId="69" xfId="0" applyFont="1" applyBorder="1" applyAlignment="1">
      <alignment horizontal="center" vertical="center" wrapText="1"/>
    </xf>
    <xf numFmtId="0" fontId="13" fillId="0" borderId="73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21" fillId="0" borderId="10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1" xfId="0" applyFont="1" applyBorder="1" applyAlignment="1">
      <alignment horizontal="center" vertical="center"/>
    </xf>
    <xf numFmtId="0" fontId="21" fillId="0" borderId="100" xfId="0" applyFont="1" applyBorder="1" applyAlignment="1">
      <alignment horizontal="center" vertical="center"/>
    </xf>
    <xf numFmtId="0" fontId="18" fillId="4" borderId="50" xfId="0" applyFont="1" applyFill="1" applyBorder="1" applyAlignment="1">
      <alignment horizontal="center" vertical="center"/>
    </xf>
    <xf numFmtId="0" fontId="18" fillId="4" borderId="56" xfId="0" applyFont="1" applyFill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11" fillId="7" borderId="58" xfId="0" applyFont="1" applyFill="1" applyBorder="1" applyAlignment="1">
      <alignment horizontal="center" vertical="center"/>
    </xf>
    <xf numFmtId="0" fontId="11" fillId="7" borderId="52" xfId="0" applyFont="1" applyFill="1" applyBorder="1" applyAlignment="1">
      <alignment horizontal="center" vertical="center"/>
    </xf>
    <xf numFmtId="0" fontId="25" fillId="0" borderId="42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57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22" fillId="7" borderId="85" xfId="0" applyFont="1" applyFill="1" applyBorder="1" applyAlignment="1">
      <alignment horizontal="center" vertical="center" wrapText="1"/>
    </xf>
    <xf numFmtId="0" fontId="22" fillId="7" borderId="86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36" fillId="0" borderId="88" xfId="1" applyBorder="1" applyAlignment="1">
      <alignment horizontal="center" vertical="center" wrapText="1"/>
    </xf>
    <xf numFmtId="0" fontId="13" fillId="0" borderId="89" xfId="0" applyFont="1" applyBorder="1" applyAlignment="1">
      <alignment horizontal="center" vertical="center" wrapText="1"/>
    </xf>
    <xf numFmtId="0" fontId="12" fillId="2" borderId="63" xfId="0" applyFont="1" applyFill="1" applyBorder="1" applyAlignment="1">
      <alignment horizontal="center" vertical="center" wrapText="1"/>
    </xf>
    <xf numFmtId="0" fontId="12" fillId="2" borderId="48" xfId="0" applyFont="1" applyFill="1" applyBorder="1" applyAlignment="1">
      <alignment horizontal="center" vertical="center" wrapText="1"/>
    </xf>
    <xf numFmtId="0" fontId="12" fillId="0" borderId="68" xfId="0" applyFont="1" applyBorder="1" applyAlignment="1">
      <alignment horizontal="center" vertical="center"/>
    </xf>
    <xf numFmtId="0" fontId="12" fillId="0" borderId="72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22" fillId="7" borderId="7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36" fillId="0" borderId="69" xfId="1" applyBorder="1" applyAlignment="1">
      <alignment horizontal="center" vertical="center" wrapText="1"/>
    </xf>
    <xf numFmtId="0" fontId="12" fillId="2" borderId="41" xfId="0" applyFont="1" applyFill="1" applyBorder="1" applyAlignment="1">
      <alignment horizontal="center" vertical="center" wrapText="1"/>
    </xf>
    <xf numFmtId="0" fontId="32" fillId="2" borderId="68" xfId="0" applyFont="1" applyFill="1" applyBorder="1" applyAlignment="1">
      <alignment horizontal="center" vertical="center" wrapText="1"/>
    </xf>
    <xf numFmtId="0" fontId="32" fillId="2" borderId="72" xfId="0" applyFont="1" applyFill="1" applyBorder="1" applyAlignment="1">
      <alignment horizontal="center" vertical="center" wrapText="1"/>
    </xf>
    <xf numFmtId="0" fontId="32" fillId="2" borderId="56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7" fillId="0" borderId="88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2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  <xf numFmtId="14" fontId="13" fillId="0" borderId="114" xfId="0" applyNumberFormat="1" applyFont="1" applyBorder="1" applyAlignment="1">
      <alignment horizontal="center" vertical="center" wrapText="1"/>
    </xf>
    <xf numFmtId="0" fontId="13" fillId="0" borderId="115" xfId="0" applyFont="1" applyBorder="1" applyAlignment="1">
      <alignment horizontal="center" vertical="center" wrapText="1"/>
    </xf>
    <xf numFmtId="14" fontId="13" fillId="0" borderId="114" xfId="0" applyNumberFormat="1" applyFont="1" applyBorder="1" applyAlignment="1">
      <alignment horizontal="center" vertical="center"/>
    </xf>
    <xf numFmtId="0" fontId="13" fillId="0" borderId="115" xfId="0" applyFont="1" applyBorder="1" applyAlignment="1">
      <alignment horizontal="center" vertical="center"/>
    </xf>
    <xf numFmtId="0" fontId="13" fillId="2" borderId="36" xfId="0" applyFont="1" applyFill="1" applyBorder="1" applyAlignment="1">
      <alignment horizontal="left" vertical="center" wrapText="1"/>
    </xf>
    <xf numFmtId="0" fontId="13" fillId="0" borderId="114" xfId="0" applyFont="1" applyBorder="1" applyAlignment="1">
      <alignment horizontal="center" vertical="center" wrapText="1"/>
    </xf>
    <xf numFmtId="0" fontId="13" fillId="2" borderId="0" xfId="0" applyFont="1" applyFill="1" applyBorder="1" applyAlignment="1">
      <alignment horizontal="left" vertical="center" wrapText="1"/>
    </xf>
    <xf numFmtId="0" fontId="11" fillId="3" borderId="33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3" fillId="0" borderId="116" xfId="0" applyFont="1" applyBorder="1" applyAlignment="1">
      <alignment horizontal="left" vertical="center" wrapText="1"/>
    </xf>
    <xf numFmtId="14" fontId="13" fillId="0" borderId="116" xfId="0" applyNumberFormat="1" applyFont="1" applyBorder="1" applyAlignment="1">
      <alignment horizontal="center" vertical="center"/>
    </xf>
    <xf numFmtId="14" fontId="13" fillId="0" borderId="116" xfId="0" applyNumberFormat="1" applyFont="1" applyBorder="1" applyAlignment="1">
      <alignment horizontal="center" vertical="center" wrapText="1"/>
    </xf>
    <xf numFmtId="0" fontId="13" fillId="0" borderId="116" xfId="0" applyFont="1" applyBorder="1" applyAlignment="1">
      <alignment horizontal="center" vertical="center" wrapText="1"/>
    </xf>
    <xf numFmtId="0" fontId="13" fillId="0" borderId="114" xfId="0" applyFont="1" applyBorder="1" applyAlignment="1">
      <alignment horizontal="left" vertical="center" wrapText="1"/>
    </xf>
    <xf numFmtId="0" fontId="13" fillId="0" borderId="114" xfId="0" applyFont="1" applyBorder="1" applyAlignment="1">
      <alignment horizontal="center" vertical="center"/>
    </xf>
    <xf numFmtId="0" fontId="22" fillId="7" borderId="44" xfId="0" applyFont="1" applyFill="1" applyBorder="1" applyAlignment="1">
      <alignment horizontal="center" vertical="center" wrapText="1"/>
    </xf>
    <xf numFmtId="0" fontId="11" fillId="7" borderId="74" xfId="0" applyFont="1" applyFill="1" applyBorder="1" applyAlignment="1">
      <alignment horizontal="center" vertical="center" wrapText="1"/>
    </xf>
    <xf numFmtId="0" fontId="11" fillId="7" borderId="117" xfId="0" applyFont="1" applyFill="1" applyBorder="1" applyAlignment="1">
      <alignment horizontal="center" vertical="center" wrapText="1"/>
    </xf>
    <xf numFmtId="0" fontId="22" fillId="7" borderId="49" xfId="0" applyFont="1" applyFill="1" applyBorder="1" applyAlignment="1">
      <alignment horizontal="center" vertical="center" wrapText="1"/>
    </xf>
    <xf numFmtId="0" fontId="11" fillId="7" borderId="118" xfId="0" applyFont="1" applyFill="1" applyBorder="1" applyAlignment="1">
      <alignment horizontal="center" vertical="center" wrapText="1"/>
    </xf>
    <xf numFmtId="0" fontId="13" fillId="0" borderId="92" xfId="0" applyFont="1" applyBorder="1" applyAlignment="1">
      <alignment horizontal="left" vertical="center" wrapText="1"/>
    </xf>
    <xf numFmtId="0" fontId="13" fillId="0" borderId="119" xfId="0" applyFont="1" applyBorder="1" applyAlignment="1">
      <alignment horizontal="left" vertical="center" wrapText="1"/>
    </xf>
    <xf numFmtId="0" fontId="13" fillId="0" borderId="118" xfId="0" applyFont="1" applyBorder="1" applyAlignment="1">
      <alignment horizontal="left" vertical="center" wrapText="1"/>
    </xf>
    <xf numFmtId="0" fontId="13" fillId="0" borderId="93" xfId="0" applyFont="1" applyBorder="1" applyAlignment="1">
      <alignment horizontal="left" vertical="center" wrapText="1"/>
    </xf>
    <xf numFmtId="0" fontId="13" fillId="0" borderId="120" xfId="0" applyFont="1" applyBorder="1" applyAlignment="1">
      <alignment horizontal="left" vertical="center" wrapText="1"/>
    </xf>
    <xf numFmtId="0" fontId="13" fillId="0" borderId="121" xfId="0" applyFont="1" applyBorder="1" applyAlignment="1">
      <alignment horizontal="left" vertical="center" wrapText="1"/>
    </xf>
    <xf numFmtId="0" fontId="13" fillId="0" borderId="122" xfId="0" applyFont="1" applyBorder="1" applyAlignment="1">
      <alignment horizontal="left" vertical="center" wrapText="1"/>
    </xf>
    <xf numFmtId="0" fontId="13" fillId="0" borderId="123" xfId="0" applyFont="1" applyBorder="1" applyAlignment="1">
      <alignment horizontal="left" vertical="center" wrapText="1"/>
    </xf>
    <xf numFmtId="0" fontId="13" fillId="0" borderId="42" xfId="0" applyFont="1" applyBorder="1" applyAlignment="1">
      <alignment horizontal="left" vertical="center" wrapText="1"/>
    </xf>
    <xf numFmtId="14" fontId="13" fillId="0" borderId="42" xfId="0" applyNumberFormat="1" applyFont="1" applyBorder="1" applyAlignment="1">
      <alignment horizontal="center" vertical="center"/>
    </xf>
    <xf numFmtId="14" fontId="13" fillId="0" borderId="42" xfId="0" applyNumberFormat="1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left" vertical="center" wrapText="1"/>
    </xf>
    <xf numFmtId="0" fontId="11" fillId="7" borderId="27" xfId="0" applyFont="1" applyFill="1" applyBorder="1" applyAlignment="1">
      <alignment horizontal="center" vertical="center"/>
    </xf>
    <xf numFmtId="0" fontId="11" fillId="7" borderId="124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CCCCCC"/>
        </bottom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E1EF57"/>
        </patternFill>
      </fill>
    </dxf>
    <dxf>
      <fill>
        <patternFill>
          <bgColor rgb="FF92D050"/>
        </patternFill>
      </fill>
    </dxf>
    <dxf>
      <fill>
        <patternFill>
          <bgColor rgb="FFE2ED51"/>
        </patternFill>
      </fill>
    </dxf>
  </dxfs>
  <tableStyles count="0" defaultTableStyle="TableStyleMedium9" defaultPivotStyle="PivotStyleLight16"/>
  <colors>
    <mruColors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22/11/relationships/FeaturePropertyBag" Target="featurePropertyBag/featurePropertyBag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  <xdr:twoCellAnchor editAs="oneCell">
    <xdr:from>
      <xdr:col>1</xdr:col>
      <xdr:colOff>409575</xdr:colOff>
      <xdr:row>81</xdr:row>
      <xdr:rowOff>85725</xdr:rowOff>
    </xdr:from>
    <xdr:to>
      <xdr:col>2</xdr:col>
      <xdr:colOff>1676400</xdr:colOff>
      <xdr:row>81</xdr:row>
      <xdr:rowOff>2847975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880FCF8-C467-8335-0E7C-11FAA2F71F38}"/>
            </a:ext>
            <a:ext uri="{147F2762-F138-4A5C-976F-8EAC2B608ADB}">
              <a16:predDERef xmlns:a16="http://schemas.microsoft.com/office/drawing/2014/main" pred="{8E00CC92-0015-4CE3-A33B-B1A9AF53B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1975" y="25460325"/>
          <a:ext cx="3086100" cy="2762250"/>
        </a:xfrm>
        <a:prstGeom prst="rect">
          <a:avLst/>
        </a:prstGeom>
      </xdr:spPr>
    </xdr:pic>
    <xdr:clientData/>
  </xdr:twoCellAnchor>
  <xdr:twoCellAnchor editAs="oneCell">
    <xdr:from>
      <xdr:col>7</xdr:col>
      <xdr:colOff>628650</xdr:colOff>
      <xdr:row>81</xdr:row>
      <xdr:rowOff>333375</xdr:rowOff>
    </xdr:from>
    <xdr:to>
      <xdr:col>8</xdr:col>
      <xdr:colOff>2628900</xdr:colOff>
      <xdr:row>81</xdr:row>
      <xdr:rowOff>2628900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B53CD2F-8567-0F27-F220-18B51966EB5C}"/>
            </a:ext>
            <a:ext uri="{147F2762-F138-4A5C-976F-8EAC2B608ADB}">
              <a16:predDERef xmlns:a16="http://schemas.microsoft.com/office/drawing/2014/main" pred="{4880FCF8-C467-8335-0E7C-11FAA2F71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20425" y="25879425"/>
          <a:ext cx="4238625" cy="2295525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762000</xdr:colOff>
      <xdr:row>81</xdr:row>
      <xdr:rowOff>381000</xdr:rowOff>
    </xdr:from>
    <xdr:to>
      <xdr:col>6</xdr:col>
      <xdr:colOff>447675</xdr:colOff>
      <xdr:row>81</xdr:row>
      <xdr:rowOff>2524125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968555F-563A-3923-DFBE-DDCB55485D1C}"/>
            </a:ext>
            <a:ext uri="{147F2762-F138-4A5C-976F-8EAC2B608ADB}">
              <a16:predDERef xmlns:a16="http://schemas.microsoft.com/office/drawing/2014/main" pred="{5B53CD2F-8567-0F27-F220-18B51966E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2100" y="25927050"/>
          <a:ext cx="3962400" cy="2143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>
        <row r="50">
          <cell r="C50" t="str">
            <v>38392 - Establecer requisitos de la solución de software de acuerdo con estándares y procedimiento técnico</v>
          </cell>
        </row>
        <row r="51">
          <cell r="C51" t="str">
            <v>38362 - Diseñar la solución de software de acuerdo con procedimientos y requisitos técnicos</v>
          </cell>
        </row>
        <row r="52">
          <cell r="C52" t="str">
            <v>38368 - Desarrollar la solución de software de acuerdo con el diseño y metodologías de desarrollo</v>
          </cell>
        </row>
        <row r="53">
          <cell r="C53" t="str">
            <v>38367 - Estructurar propuesta técnica de servicio de tecnología de la información según requisitos técnicos y normativa</v>
          </cell>
        </row>
        <row r="54">
          <cell r="C54" t="str">
            <v>38376 - Evaluar requisitos de la solución de software de acuerdo con metodologías de análisis y estándares</v>
          </cell>
        </row>
      </sheetData>
      <sheetData sheetId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10CAF-386D-41BE-AE72-8D38EFA83A09}" name="TablaSena" displayName="TablaSena" ref="A1:C39" totalsRowShown="0" headerRowDxfId="6" headerRowBorderDxfId="4" tableBorderDxfId="5" totalsRowBorderDxfId="3">
  <autoFilter ref="A1:C39" xr:uid="{99010CAF-386D-41BE-AE72-8D38EFA83A09}"/>
  <tableColumns count="3">
    <tableColumn id="1" xr3:uid="{61F34070-348E-42B3-BF87-5A1CD2BB6FD7}" name="PROGRAMA" dataDxfId="2"/>
    <tableColumn id="2" xr3:uid="{7B4CB996-89B6-45DE-A53A-D02152366731}" name="COMPETENCIA" dataDxfId="1"/>
    <tableColumn id="3" xr3:uid="{529DD12A-961C-42BF-9AA1-50D419FC6C5E}" name="RESULTADO DE APRENDIZAJE (RAP)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fmendez@sena.edu.co" TargetMode="External"/><Relationship Id="rId2" Type="http://schemas.openxmlformats.org/officeDocument/2006/relationships/hyperlink" Target="mailto:diegotapia.s@hotmail.com" TargetMode="External"/><Relationship Id="rId1" Type="http://schemas.openxmlformats.org/officeDocument/2006/relationships/hyperlink" Target="mailto:diegoa_tapias@soy.sena.edu.co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4"/>
  <sheetViews>
    <sheetView showGridLines="0" tabSelected="1" view="pageBreakPreview" zoomScale="50" zoomScaleNormal="80" zoomScaleSheetLayoutView="50" workbookViewId="0">
      <selection activeCell="E11" sqref="E11:I11"/>
    </sheetView>
  </sheetViews>
  <sheetFormatPr defaultColWidth="0" defaultRowHeight="15" customHeight="1" zeroHeight="1"/>
  <cols>
    <col min="1" max="1" width="2.28515625" style="30" customWidth="1"/>
    <col min="2" max="2" width="27.28515625" style="9" customWidth="1"/>
    <col min="3" max="3" width="39.5703125" style="9" customWidth="1"/>
    <col min="4" max="4" width="21.5703125" style="9" customWidth="1"/>
    <col min="5" max="5" width="20" style="30" customWidth="1"/>
    <col min="6" max="6" width="22.5703125" style="30" customWidth="1"/>
    <col min="7" max="7" width="22.5703125" style="9" customWidth="1"/>
    <col min="8" max="8" width="33.5703125" style="9" customWidth="1"/>
    <col min="9" max="9" width="5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>
      <c r="B1" s="21"/>
      <c r="C1" s="22"/>
      <c r="D1" s="22"/>
      <c r="E1" s="26"/>
      <c r="F1" s="26"/>
      <c r="G1" s="22"/>
      <c r="H1" s="22"/>
      <c r="I1" s="23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>
      <c r="B2" s="24"/>
      <c r="C2" s="67"/>
      <c r="D2" s="67"/>
      <c r="E2" s="18"/>
      <c r="F2" s="18"/>
      <c r="G2" s="67"/>
      <c r="H2" s="67"/>
      <c r="I2" s="25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>
      <c r="B3" s="171" t="s">
        <v>2</v>
      </c>
      <c r="C3" s="172"/>
      <c r="D3" s="172"/>
      <c r="E3" s="172"/>
      <c r="F3" s="172"/>
      <c r="G3" s="172"/>
      <c r="H3" s="172"/>
      <c r="I3" s="173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>
      <c r="B4" s="177" t="s">
        <v>3</v>
      </c>
      <c r="C4" s="178"/>
      <c r="D4" s="178"/>
      <c r="E4" s="178"/>
      <c r="F4" s="178"/>
      <c r="G4" s="178"/>
      <c r="H4" s="178"/>
      <c r="I4" s="179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>
      <c r="B5" s="174" t="s">
        <v>4</v>
      </c>
      <c r="C5" s="175"/>
      <c r="D5" s="175"/>
      <c r="E5" s="175"/>
      <c r="F5" s="175"/>
      <c r="G5" s="175"/>
      <c r="H5" s="175"/>
      <c r="I5" s="176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>
      <c r="B6" s="177" t="s">
        <v>5</v>
      </c>
      <c r="C6" s="178"/>
      <c r="D6" s="178"/>
      <c r="E6" s="178"/>
      <c r="F6" s="178"/>
      <c r="G6" s="178"/>
      <c r="H6" s="178"/>
      <c r="I6" s="179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>
      <c r="B7" s="174" t="s">
        <v>6</v>
      </c>
      <c r="C7" s="175"/>
      <c r="D7" s="175"/>
      <c r="E7" s="175"/>
      <c r="F7" s="175"/>
      <c r="G7" s="175"/>
      <c r="H7" s="175"/>
      <c r="I7" s="17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>
      <c r="B8" s="44" t="s">
        <v>7</v>
      </c>
      <c r="C8" s="184" t="b">
        <v>0</v>
      </c>
      <c r="D8" s="185"/>
      <c r="E8" s="186" t="s">
        <v>8</v>
      </c>
      <c r="F8" s="187"/>
      <c r="G8" s="48" t="b">
        <v>0</v>
      </c>
      <c r="H8" s="65" t="s">
        <v>9</v>
      </c>
      <c r="I8" s="49" t="b">
        <v>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>
      <c r="B9" s="67"/>
      <c r="C9" s="64"/>
      <c r="D9" s="64"/>
      <c r="E9" s="17"/>
      <c r="F9" s="17"/>
      <c r="G9" s="198"/>
      <c r="H9" s="198"/>
      <c r="I9" s="64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>
      <c r="B10" s="165" t="s">
        <v>10</v>
      </c>
      <c r="C10" s="166"/>
      <c r="D10" s="142"/>
      <c r="E10" s="163" t="s">
        <v>11</v>
      </c>
      <c r="F10" s="163"/>
      <c r="G10" s="163"/>
      <c r="H10" s="163"/>
      <c r="I10" s="163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>
      <c r="B11" s="195">
        <v>1</v>
      </c>
      <c r="C11" s="196"/>
      <c r="D11" s="197"/>
      <c r="E11" s="194" t="s">
        <v>12</v>
      </c>
      <c r="F11" s="194"/>
      <c r="G11" s="194"/>
      <c r="H11" s="194"/>
      <c r="I11" s="194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>
      <c r="B12" s="67"/>
      <c r="C12" s="64"/>
      <c r="D12" s="64"/>
      <c r="E12" s="17"/>
      <c r="F12" s="17"/>
      <c r="G12" s="198"/>
      <c r="H12" s="198"/>
      <c r="I12" s="64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>
      <c r="B13" s="192" t="s">
        <v>13</v>
      </c>
      <c r="C13" s="192"/>
      <c r="D13" s="192"/>
      <c r="E13" s="192"/>
      <c r="F13" s="192"/>
      <c r="G13" s="192"/>
      <c r="H13" s="192"/>
      <c r="I13" s="193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>
      <c r="B14" s="165" t="s">
        <v>14</v>
      </c>
      <c r="C14" s="166"/>
      <c r="D14" s="142"/>
      <c r="E14" s="45" t="s">
        <v>15</v>
      </c>
      <c r="F14" s="188" t="s">
        <v>16</v>
      </c>
      <c r="G14" s="189"/>
      <c r="H14" s="163" t="s">
        <v>17</v>
      </c>
      <c r="I14" s="143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</row>
    <row r="15" spans="2:28" ht="18" customHeight="1" thickBot="1">
      <c r="B15" s="181" t="s">
        <v>18</v>
      </c>
      <c r="C15" s="182"/>
      <c r="D15" s="183"/>
      <c r="E15" s="31" t="s">
        <v>19</v>
      </c>
      <c r="F15" s="190">
        <v>1030594222</v>
      </c>
      <c r="G15" s="191"/>
      <c r="H15" s="130">
        <v>3106192125</v>
      </c>
      <c r="I15" s="180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>
      <c r="B16" s="214" t="s">
        <v>20</v>
      </c>
      <c r="C16" s="215"/>
      <c r="D16" s="216"/>
      <c r="E16" s="217" t="s">
        <v>21</v>
      </c>
      <c r="F16" s="217"/>
      <c r="G16" s="217"/>
      <c r="H16" s="199" t="s">
        <v>22</v>
      </c>
      <c r="I16" s="200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>
      <c r="B17" s="220" t="s">
        <v>23</v>
      </c>
      <c r="C17" s="196"/>
      <c r="D17" s="197"/>
      <c r="E17" s="169" t="s">
        <v>24</v>
      </c>
      <c r="F17" s="170"/>
      <c r="G17" s="170"/>
      <c r="H17" s="164" t="s">
        <v>25</v>
      </c>
      <c r="I17" s="145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0" customFormat="1" ht="18" customHeight="1">
      <c r="B18" s="165" t="s">
        <v>26</v>
      </c>
      <c r="C18" s="166"/>
      <c r="D18" s="142"/>
      <c r="E18" s="163" t="s">
        <v>27</v>
      </c>
      <c r="F18" s="163"/>
      <c r="G18" s="163"/>
      <c r="H18" s="163" t="s">
        <v>28</v>
      </c>
      <c r="I18" s="143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0" customFormat="1" ht="18" customHeight="1">
      <c r="B19" s="167">
        <v>2996897</v>
      </c>
      <c r="C19" s="168"/>
      <c r="D19" s="144"/>
      <c r="E19" s="164" t="s">
        <v>29</v>
      </c>
      <c r="F19" s="164"/>
      <c r="G19" s="164"/>
      <c r="H19" s="164" t="s">
        <v>30</v>
      </c>
      <c r="I19" s="14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>
      <c r="B20" s="222" t="s">
        <v>31</v>
      </c>
      <c r="C20" s="223"/>
      <c r="D20" s="224"/>
      <c r="E20" s="131" t="s">
        <v>32</v>
      </c>
      <c r="F20" s="131"/>
      <c r="G20" s="131"/>
      <c r="H20" s="131" t="s">
        <v>33</v>
      </c>
      <c r="I20" s="221"/>
      <c r="J20" s="67"/>
      <c r="K20" s="67"/>
      <c r="L20" s="67"/>
      <c r="M20" s="61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</row>
    <row r="21" spans="2:28" ht="18" customHeight="1">
      <c r="B21" s="195" t="s">
        <v>34</v>
      </c>
      <c r="C21" s="196"/>
      <c r="D21" s="197"/>
      <c r="E21" s="130" t="s">
        <v>35</v>
      </c>
      <c r="F21" s="130"/>
      <c r="G21" s="130"/>
      <c r="H21" s="128" t="s">
        <v>36</v>
      </c>
      <c r="I21" s="129"/>
      <c r="J21" s="64"/>
      <c r="K21" s="64"/>
      <c r="L21" s="64"/>
      <c r="M21" s="61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</row>
    <row r="22" spans="2:28" ht="9.75" customHeight="1">
      <c r="B22" s="63"/>
      <c r="C22" s="63"/>
      <c r="D22" s="63"/>
      <c r="E22" s="27"/>
      <c r="F22" s="27"/>
      <c r="G22" s="101"/>
      <c r="H22" s="101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</row>
    <row r="23" spans="2:28" ht="17.25" customHeight="1">
      <c r="B23" s="160" t="s">
        <v>37</v>
      </c>
      <c r="C23" s="161"/>
      <c r="D23" s="161"/>
      <c r="E23" s="161"/>
      <c r="F23" s="161"/>
      <c r="G23" s="161"/>
      <c r="H23" s="161"/>
      <c r="I23" s="162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</row>
    <row r="24" spans="2:28" s="9" customFormat="1" ht="36.75" customHeight="1">
      <c r="B24" s="126" t="s">
        <v>38</v>
      </c>
      <c r="C24" s="127"/>
      <c r="D24" s="127"/>
      <c r="E24" s="127"/>
      <c r="F24" s="132" t="s">
        <v>39</v>
      </c>
      <c r="G24" s="132"/>
      <c r="H24" s="127" t="s">
        <v>40</v>
      </c>
      <c r="I24" s="151"/>
      <c r="J24" s="64"/>
      <c r="K24" s="64"/>
      <c r="L24" s="61"/>
      <c r="M24" s="67"/>
      <c r="N24" s="67"/>
      <c r="O24" s="61"/>
      <c r="P24" s="61"/>
      <c r="Q24" s="61"/>
      <c r="R24" s="61"/>
      <c r="S24" s="61"/>
      <c r="T24" s="61"/>
      <c r="U24" s="61"/>
      <c r="V24" s="61"/>
      <c r="W24" s="67"/>
      <c r="X24" s="67"/>
      <c r="Y24" s="67"/>
      <c r="Z24" s="67"/>
      <c r="AA24" s="67"/>
      <c r="AB24" s="10"/>
    </row>
    <row r="25" spans="2:28" ht="25.5" customHeight="1">
      <c r="B25" s="159" t="s">
        <v>41</v>
      </c>
      <c r="C25" s="133"/>
      <c r="D25" s="133"/>
      <c r="E25" s="133"/>
      <c r="F25" s="133" t="s">
        <v>42</v>
      </c>
      <c r="G25" s="133"/>
      <c r="H25" s="159" t="s">
        <v>43</v>
      </c>
      <c r="I25" s="133"/>
      <c r="J25" s="64"/>
      <c r="K25" s="64"/>
      <c r="L25" s="61"/>
      <c r="M25" s="64"/>
      <c r="N25" s="64"/>
      <c r="O25" s="61"/>
      <c r="P25" s="61"/>
      <c r="Q25" s="61"/>
      <c r="R25" s="61"/>
      <c r="S25" s="61"/>
      <c r="T25" s="61"/>
      <c r="U25" s="61"/>
      <c r="V25" s="61"/>
      <c r="W25" s="64"/>
      <c r="X25" s="64"/>
      <c r="Y25" s="64"/>
      <c r="Z25" s="64"/>
      <c r="AA25" s="64"/>
    </row>
    <row r="26" spans="2:28" ht="9.9499999999999993" customHeight="1">
      <c r="B26" s="63"/>
      <c r="C26" s="63"/>
      <c r="D26" s="63"/>
      <c r="E26" s="27"/>
      <c r="F26" s="27"/>
      <c r="G26" s="101"/>
      <c r="H26" s="101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</row>
    <row r="27" spans="2:28" ht="18" customHeight="1">
      <c r="B27" s="156" t="s">
        <v>44</v>
      </c>
      <c r="C27" s="157"/>
      <c r="D27" s="157"/>
      <c r="E27" s="157"/>
      <c r="F27" s="157"/>
      <c r="G27" s="157"/>
      <c r="H27" s="157"/>
      <c r="I27" s="158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</row>
    <row r="28" spans="2:28" s="9" customFormat="1" ht="45.75" customHeight="1">
      <c r="B28" s="152" t="s">
        <v>45</v>
      </c>
      <c r="C28" s="127"/>
      <c r="D28" s="127"/>
      <c r="E28" s="132" t="s">
        <v>46</v>
      </c>
      <c r="F28" s="132"/>
      <c r="G28" s="66" t="s">
        <v>47</v>
      </c>
      <c r="H28" s="127" t="s">
        <v>48</v>
      </c>
      <c r="I28" s="155"/>
      <c r="J28" s="67"/>
      <c r="K28" s="61"/>
      <c r="L28" s="61"/>
      <c r="M28" s="61"/>
      <c r="N28" s="67"/>
      <c r="O28" s="67"/>
      <c r="P28" s="61"/>
      <c r="Q28" s="67"/>
      <c r="R28" s="67"/>
      <c r="S28" s="67"/>
      <c r="T28" s="67"/>
      <c r="U28" s="61"/>
      <c r="V28" s="67"/>
      <c r="W28" s="67"/>
      <c r="X28" s="67"/>
      <c r="Y28" s="67"/>
      <c r="Z28" s="67"/>
      <c r="AA28" s="67"/>
      <c r="AB28" s="10"/>
    </row>
    <row r="29" spans="2:28" ht="24" customHeight="1" thickBot="1">
      <c r="B29" s="153" t="s">
        <v>49</v>
      </c>
      <c r="C29" s="154"/>
      <c r="D29" s="154"/>
      <c r="E29" s="154" t="s">
        <v>50</v>
      </c>
      <c r="F29" s="154"/>
      <c r="G29" s="43">
        <v>3124117048</v>
      </c>
      <c r="H29" s="210" t="s">
        <v>51</v>
      </c>
      <c r="I29" s="211"/>
      <c r="J29" s="64"/>
      <c r="K29" s="61"/>
      <c r="L29" s="61"/>
      <c r="M29" s="61"/>
      <c r="N29" s="64"/>
      <c r="O29" s="64"/>
      <c r="P29" s="61"/>
      <c r="Q29" s="64"/>
      <c r="R29" s="64"/>
      <c r="S29" s="64"/>
      <c r="T29" s="64"/>
      <c r="U29" s="61"/>
      <c r="V29" s="64"/>
      <c r="W29" s="64"/>
      <c r="X29" s="64"/>
      <c r="Y29" s="64"/>
      <c r="Z29" s="64"/>
      <c r="AA29" s="64"/>
    </row>
    <row r="30" spans="2:28" ht="8.25" customHeight="1">
      <c r="B30" s="63"/>
      <c r="C30" s="63"/>
      <c r="D30" s="63"/>
      <c r="E30" s="27"/>
      <c r="F30" s="27"/>
      <c r="G30" s="101"/>
      <c r="H30" s="101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</row>
    <row r="31" spans="2:28" ht="18" customHeight="1">
      <c r="B31" s="160" t="s">
        <v>52</v>
      </c>
      <c r="C31" s="161"/>
      <c r="D31" s="161"/>
      <c r="E31" s="161"/>
      <c r="F31" s="161"/>
      <c r="G31" s="161"/>
      <c r="H31" s="161"/>
      <c r="I31" s="162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>
      <c r="B32" s="212" t="s">
        <v>53</v>
      </c>
      <c r="C32" s="73"/>
      <c r="D32" s="73"/>
      <c r="E32" s="73"/>
      <c r="F32" s="213"/>
      <c r="G32" s="72" t="s">
        <v>54</v>
      </c>
      <c r="H32" s="73"/>
      <c r="I32" s="74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ht="30" customHeight="1">
      <c r="B33" s="69" t="s">
        <v>55</v>
      </c>
      <c r="C33" s="70"/>
      <c r="D33" s="70"/>
      <c r="E33" s="70"/>
      <c r="F33" s="71"/>
      <c r="G33" s="75" t="s">
        <v>56</v>
      </c>
      <c r="H33" s="70"/>
      <c r="I33" s="7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8" ht="9.9499999999999993" customHeight="1">
      <c r="B34" s="63"/>
      <c r="C34" s="63"/>
      <c r="D34" s="63"/>
      <c r="E34" s="27"/>
      <c r="F34" s="27"/>
      <c r="G34" s="101"/>
      <c r="H34" s="101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</row>
    <row r="35" spans="1:28" ht="18" customHeight="1">
      <c r="B35" s="139" t="s">
        <v>57</v>
      </c>
      <c r="C35" s="140"/>
      <c r="D35" s="140"/>
      <c r="E35" s="140"/>
      <c r="F35" s="140"/>
      <c r="G35" s="140"/>
      <c r="H35" s="140"/>
      <c r="I35" s="141"/>
      <c r="J35" s="33"/>
      <c r="K35" s="14"/>
      <c r="L35" s="14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spans="1:28" ht="30" customHeight="1">
      <c r="B36" s="35" t="s">
        <v>58</v>
      </c>
      <c r="C36" s="148" t="s">
        <v>59</v>
      </c>
      <c r="D36" s="149"/>
      <c r="E36" s="149"/>
      <c r="F36" s="150"/>
      <c r="G36" s="35" t="s">
        <v>58</v>
      </c>
      <c r="H36" s="146" t="s">
        <v>60</v>
      </c>
      <c r="I36" s="147"/>
      <c r="J36" s="34"/>
      <c r="K36" s="14"/>
      <c r="L36" s="14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r="37" spans="1:28" s="11" customFormat="1" ht="14.25" customHeight="1">
      <c r="B37" s="94" t="s">
        <v>61</v>
      </c>
      <c r="C37" s="97"/>
      <c r="D37" s="98"/>
      <c r="E37" s="98"/>
      <c r="F37" s="99"/>
      <c r="G37" s="94" t="s">
        <v>62</v>
      </c>
      <c r="H37" s="118"/>
      <c r="I37" s="119"/>
      <c r="J37" s="33"/>
      <c r="K37" s="67"/>
      <c r="L37" s="64"/>
      <c r="M37" s="64"/>
      <c r="N37" s="64"/>
      <c r="O37" s="64"/>
      <c r="P37" s="64"/>
      <c r="Q37" s="64"/>
      <c r="R37" s="64"/>
      <c r="S37" s="67"/>
      <c r="T37" s="67"/>
      <c r="U37" s="64"/>
      <c r="V37" s="64"/>
      <c r="W37" s="64"/>
      <c r="X37" s="64"/>
      <c r="AB37" s="12"/>
    </row>
    <row r="38" spans="1:28" s="11" customFormat="1" ht="14.25" customHeight="1">
      <c r="B38" s="122"/>
      <c r="C38" s="100"/>
      <c r="D38" s="101"/>
      <c r="E38" s="101"/>
      <c r="F38" s="102"/>
      <c r="G38" s="95"/>
      <c r="H38" s="120"/>
      <c r="I38" s="121"/>
      <c r="J38" s="33"/>
      <c r="K38" s="67"/>
      <c r="L38" s="64"/>
      <c r="M38" s="64"/>
      <c r="N38" s="64"/>
      <c r="P38" s="64"/>
      <c r="Q38" s="64"/>
      <c r="R38" s="64"/>
      <c r="S38" s="67"/>
      <c r="T38" s="67"/>
      <c r="U38" s="64"/>
      <c r="V38" s="64"/>
      <c r="W38" s="64"/>
      <c r="X38" s="64"/>
      <c r="AB38" s="12"/>
    </row>
    <row r="39" spans="1:28" s="11" customFormat="1" ht="14.25" customHeight="1">
      <c r="B39" s="122"/>
      <c r="C39" s="100"/>
      <c r="D39" s="101"/>
      <c r="E39" s="101"/>
      <c r="F39" s="102"/>
      <c r="G39" s="94" t="s">
        <v>63</v>
      </c>
      <c r="H39" s="142" t="s">
        <v>64</v>
      </c>
      <c r="I39" s="143"/>
      <c r="J39" s="33"/>
      <c r="K39" s="67"/>
      <c r="L39" s="64"/>
      <c r="M39" s="64"/>
      <c r="N39" s="64"/>
      <c r="O39" s="64"/>
      <c r="P39" s="64"/>
      <c r="Q39" s="64"/>
      <c r="R39" s="64"/>
      <c r="S39" s="67"/>
      <c r="T39" s="67"/>
      <c r="U39" s="64"/>
      <c r="V39" s="64"/>
      <c r="W39" s="64"/>
      <c r="X39" s="64"/>
      <c r="AB39" s="12"/>
    </row>
    <row r="40" spans="1:28" s="11" customFormat="1" ht="20.25" customHeight="1">
      <c r="B40" s="123"/>
      <c r="C40" s="103"/>
      <c r="D40" s="104"/>
      <c r="E40" s="104"/>
      <c r="F40" s="105"/>
      <c r="G40" s="95"/>
      <c r="H40" s="144"/>
      <c r="I40" s="145"/>
      <c r="J40" s="33"/>
      <c r="K40" s="67"/>
      <c r="L40" s="64"/>
      <c r="M40" s="64"/>
      <c r="N40" s="64"/>
      <c r="O40" s="64"/>
      <c r="P40" s="64"/>
      <c r="Q40" s="64"/>
      <c r="R40" s="64"/>
      <c r="S40" s="67"/>
      <c r="T40" s="67"/>
      <c r="U40" s="64"/>
      <c r="V40" s="64"/>
      <c r="W40" s="64"/>
      <c r="X40" s="64"/>
      <c r="AB40" s="12"/>
    </row>
    <row r="41" spans="1:28" s="11" customFormat="1" ht="16.5" customHeight="1">
      <c r="B41" s="112" t="s">
        <v>65</v>
      </c>
      <c r="C41" s="106"/>
      <c r="D41" s="107"/>
      <c r="E41" s="107"/>
      <c r="F41" s="108"/>
      <c r="G41" s="94" t="s">
        <v>66</v>
      </c>
      <c r="H41" s="135"/>
      <c r="I41" s="136"/>
      <c r="J41" s="46"/>
      <c r="K41" s="67"/>
      <c r="L41" s="59"/>
      <c r="M41" s="13"/>
      <c r="N41" s="13"/>
      <c r="O41" s="13"/>
      <c r="P41" s="13"/>
      <c r="Q41" s="13"/>
      <c r="R41" s="64"/>
      <c r="S41" s="59"/>
      <c r="T41" s="59"/>
      <c r="U41" s="13"/>
      <c r="V41" s="13"/>
      <c r="W41" s="13"/>
      <c r="X41" s="64"/>
      <c r="Y41" s="59"/>
      <c r="Z41" s="59"/>
      <c r="AA41" s="63"/>
      <c r="AB41" s="12"/>
    </row>
    <row r="42" spans="1:28" s="32" customFormat="1" ht="16.5" customHeight="1">
      <c r="A42" s="11"/>
      <c r="B42" s="113"/>
      <c r="C42" s="109"/>
      <c r="D42" s="110"/>
      <c r="E42" s="110"/>
      <c r="F42" s="111"/>
      <c r="G42" s="134"/>
      <c r="H42" s="137"/>
      <c r="I42" s="138"/>
      <c r="J42" s="46"/>
      <c r="K42" s="67"/>
      <c r="L42" s="59"/>
      <c r="M42" s="13"/>
      <c r="N42" s="13"/>
      <c r="O42" s="13"/>
      <c r="P42" s="13"/>
      <c r="Q42" s="13"/>
      <c r="R42" s="64"/>
      <c r="S42" s="59"/>
      <c r="T42" s="59"/>
      <c r="U42" s="13"/>
      <c r="V42" s="13"/>
      <c r="W42" s="13"/>
      <c r="X42" s="64"/>
      <c r="Y42" s="59"/>
      <c r="Z42" s="59"/>
      <c r="AA42" s="63"/>
      <c r="AB42" s="12"/>
    </row>
    <row r="43" spans="1:28" s="32" customFormat="1" ht="13.5" customHeight="1">
      <c r="A43" s="11"/>
      <c r="B43" s="36"/>
      <c r="C43" s="68"/>
      <c r="D43" s="68"/>
      <c r="E43" s="68"/>
      <c r="F43" s="68"/>
      <c r="G43" s="96"/>
      <c r="H43" s="84"/>
      <c r="I43" s="68"/>
      <c r="J43" s="46"/>
      <c r="K43" s="67"/>
      <c r="L43" s="59"/>
      <c r="M43" s="13"/>
      <c r="N43" s="13"/>
      <c r="O43" s="13"/>
      <c r="P43" s="13"/>
      <c r="Q43" s="13"/>
      <c r="R43" s="64"/>
      <c r="S43" s="59"/>
      <c r="T43" s="59"/>
      <c r="U43" s="13"/>
      <c r="V43" s="13"/>
      <c r="W43" s="13"/>
      <c r="X43" s="64"/>
      <c r="Y43" s="59"/>
      <c r="Z43" s="59"/>
      <c r="AA43" s="63"/>
      <c r="AB43" s="12"/>
    </row>
    <row r="44" spans="1:28" s="11" customFormat="1" ht="16.5" customHeight="1">
      <c r="B44" s="317" t="s">
        <v>67</v>
      </c>
      <c r="C44" s="317"/>
      <c r="D44" s="317"/>
      <c r="E44" s="317"/>
      <c r="F44" s="317"/>
      <c r="G44" s="317"/>
      <c r="H44" s="317"/>
      <c r="I44" s="318"/>
      <c r="J44" s="67"/>
      <c r="K44" s="67"/>
      <c r="L44" s="59"/>
      <c r="M44" s="13"/>
      <c r="N44" s="13"/>
      <c r="O44" s="13"/>
      <c r="P44" s="13"/>
      <c r="Q44" s="13"/>
      <c r="R44" s="64"/>
      <c r="S44" s="59"/>
      <c r="T44" s="59"/>
      <c r="U44" s="13"/>
      <c r="V44" s="13"/>
      <c r="W44" s="13"/>
      <c r="X44" s="64"/>
      <c r="Y44" s="59"/>
      <c r="Z44" s="59"/>
      <c r="AA44" s="63"/>
      <c r="AB44" s="12"/>
    </row>
    <row r="45" spans="1:28" ht="68.25" customHeight="1">
      <c r="B45" s="299" t="s">
        <v>68</v>
      </c>
      <c r="C45" s="202"/>
      <c r="D45" s="201" t="s">
        <v>69</v>
      </c>
      <c r="E45" s="202"/>
      <c r="F45" s="300" t="s">
        <v>70</v>
      </c>
      <c r="G45" s="300" t="s">
        <v>71</v>
      </c>
      <c r="H45" s="218" t="s">
        <v>72</v>
      </c>
      <c r="I45" s="301" t="s">
        <v>73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</row>
    <row r="46" spans="1:28" ht="24" customHeight="1">
      <c r="B46" s="302"/>
      <c r="C46" s="204"/>
      <c r="D46" s="203"/>
      <c r="E46" s="204"/>
      <c r="F46" s="206"/>
      <c r="G46" s="205"/>
      <c r="H46" s="219"/>
      <c r="I46" s="303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</row>
    <row r="47" spans="1:28" ht="53.45" customHeight="1">
      <c r="B47" s="304" t="s">
        <v>74</v>
      </c>
      <c r="C47" s="92"/>
      <c r="D47" s="225" t="s">
        <v>75</v>
      </c>
      <c r="E47" s="226"/>
      <c r="F47" s="286">
        <v>46182</v>
      </c>
      <c r="G47" s="284">
        <v>46189</v>
      </c>
      <c r="H47" s="117" t="s">
        <v>76</v>
      </c>
      <c r="I47" s="305" t="s">
        <v>77</v>
      </c>
      <c r="J47" s="64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</row>
    <row r="48" spans="1:28" ht="63.75" customHeight="1">
      <c r="B48" s="304"/>
      <c r="C48" s="92"/>
      <c r="D48" s="227"/>
      <c r="E48" s="228"/>
      <c r="F48" s="287"/>
      <c r="G48" s="285"/>
      <c r="H48" s="117"/>
      <c r="I48" s="306"/>
      <c r="J48" s="64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</row>
    <row r="49" spans="2:28" ht="32.1" customHeight="1">
      <c r="B49" s="304" t="s">
        <v>78</v>
      </c>
      <c r="C49" s="92"/>
      <c r="D49" s="92" t="s">
        <v>79</v>
      </c>
      <c r="E49" s="92"/>
      <c r="F49" s="114">
        <v>46189</v>
      </c>
      <c r="G49" s="116">
        <v>46196</v>
      </c>
      <c r="H49" s="117" t="s">
        <v>80</v>
      </c>
      <c r="I49" s="307" t="s">
        <v>81</v>
      </c>
      <c r="J49" s="64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</row>
    <row r="50" spans="2:28" ht="74.25" customHeight="1">
      <c r="B50" s="304"/>
      <c r="C50" s="92"/>
      <c r="D50" s="92"/>
      <c r="E50" s="92"/>
      <c r="F50" s="115"/>
      <c r="G50" s="117"/>
      <c r="H50" s="117"/>
      <c r="I50" s="307"/>
      <c r="J50" s="64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</row>
    <row r="51" spans="2:28" ht="18.75" customHeight="1">
      <c r="B51" s="304" t="s">
        <v>82</v>
      </c>
      <c r="C51" s="92"/>
      <c r="D51" s="92" t="s">
        <v>83</v>
      </c>
      <c r="E51" s="92"/>
      <c r="F51" s="114">
        <v>46196</v>
      </c>
      <c r="G51" s="116">
        <v>46203</v>
      </c>
      <c r="H51" s="117" t="s">
        <v>84</v>
      </c>
      <c r="I51" s="307" t="s">
        <v>85</v>
      </c>
      <c r="J51" s="64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</row>
    <row r="52" spans="2:28" ht="87.75" customHeight="1">
      <c r="B52" s="304"/>
      <c r="C52" s="92"/>
      <c r="D52" s="92"/>
      <c r="E52" s="92"/>
      <c r="F52" s="115"/>
      <c r="G52" s="117"/>
      <c r="H52" s="117"/>
      <c r="I52" s="307"/>
      <c r="J52" s="64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</row>
    <row r="53" spans="2:28" ht="18.75" customHeight="1">
      <c r="B53" s="304" t="s">
        <v>86</v>
      </c>
      <c r="C53" s="92"/>
      <c r="D53" s="92" t="s">
        <v>83</v>
      </c>
      <c r="E53" s="92"/>
      <c r="F53" s="114">
        <v>46203</v>
      </c>
      <c r="G53" s="116">
        <v>46210</v>
      </c>
      <c r="H53" s="117" t="s">
        <v>87</v>
      </c>
      <c r="I53" s="306" t="s">
        <v>88</v>
      </c>
      <c r="J53" s="64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</row>
    <row r="54" spans="2:28" ht="95.25" customHeight="1">
      <c r="B54" s="308"/>
      <c r="C54" s="297"/>
      <c r="D54" s="297"/>
      <c r="E54" s="297"/>
      <c r="F54" s="298"/>
      <c r="G54" s="289"/>
      <c r="H54" s="289"/>
      <c r="I54" s="306"/>
      <c r="J54" s="64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</row>
    <row r="55" spans="2:28" ht="15" customHeight="1">
      <c r="B55" s="309" t="s">
        <v>89</v>
      </c>
      <c r="C55" s="293"/>
      <c r="D55" s="293" t="s">
        <v>83</v>
      </c>
      <c r="E55" s="293"/>
      <c r="F55" s="294">
        <v>46203</v>
      </c>
      <c r="G55" s="295">
        <v>46210</v>
      </c>
      <c r="H55" s="296" t="s">
        <v>90</v>
      </c>
      <c r="I55" s="310" t="s">
        <v>91</v>
      </c>
      <c r="J55" s="64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</row>
    <row r="56" spans="2:28" ht="44.25" customHeight="1">
      <c r="B56" s="311"/>
      <c r="C56" s="312"/>
      <c r="D56" s="312"/>
      <c r="E56" s="312"/>
      <c r="F56" s="313"/>
      <c r="G56" s="314"/>
      <c r="H56" s="315"/>
      <c r="I56" s="316"/>
      <c r="J56" s="64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</row>
    <row r="57" spans="2:28" ht="15" customHeight="1">
      <c r="B57" s="290"/>
      <c r="C57" s="290"/>
      <c r="D57" s="290"/>
      <c r="E57" s="290"/>
      <c r="F57" s="290"/>
      <c r="G57" s="290"/>
      <c r="H57" s="290"/>
      <c r="I57" s="288"/>
      <c r="J57" s="64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</row>
    <row r="58" spans="2:28" ht="23.25" customHeight="1">
      <c r="B58" s="291" t="s">
        <v>92</v>
      </c>
      <c r="C58" s="292"/>
      <c r="D58" s="292"/>
      <c r="E58" s="292"/>
      <c r="F58" s="292"/>
      <c r="G58" s="292"/>
      <c r="H58" s="292"/>
      <c r="I58" s="78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spans="2:28" ht="19.5" customHeight="1">
      <c r="B59" s="207" t="s">
        <v>93</v>
      </c>
      <c r="C59" s="208"/>
      <c r="D59" s="208"/>
      <c r="E59" s="208"/>
      <c r="F59" s="208"/>
      <c r="G59" s="208"/>
      <c r="H59" s="208"/>
      <c r="I59" s="209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spans="2:28" ht="11.25" customHeight="1">
      <c r="B60" s="237" t="s">
        <v>94</v>
      </c>
      <c r="C60" s="238"/>
      <c r="D60" s="238"/>
      <c r="E60" s="238"/>
      <c r="F60" s="238"/>
      <c r="G60" s="238"/>
      <c r="H60" s="238"/>
      <c r="I60" s="239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2:28" ht="11.25" customHeight="1">
      <c r="B61" s="240"/>
      <c r="C61" s="241"/>
      <c r="D61" s="241"/>
      <c r="E61" s="241"/>
      <c r="F61" s="241"/>
      <c r="G61" s="241"/>
      <c r="H61" s="241"/>
      <c r="I61" s="242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2:28" s="39" customFormat="1" ht="18" customHeight="1">
      <c r="B62" s="240" t="s">
        <v>95</v>
      </c>
      <c r="C62" s="241"/>
      <c r="D62" s="241"/>
      <c r="E62" s="241"/>
      <c r="F62" s="241"/>
      <c r="G62" s="241"/>
      <c r="H62" s="241"/>
      <c r="I62" s="242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8"/>
    </row>
    <row r="63" spans="2:28" ht="18" customHeight="1" thickBot="1">
      <c r="B63" s="243" t="s">
        <v>96</v>
      </c>
      <c r="C63" s="244"/>
      <c r="D63" s="244"/>
      <c r="E63" s="244"/>
      <c r="F63" s="244"/>
      <c r="G63" s="244"/>
      <c r="H63" s="244"/>
      <c r="I63" s="245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2:28" ht="45" customHeight="1">
      <c r="B64" s="41" t="s">
        <v>97</v>
      </c>
      <c r="C64" s="124" t="s">
        <v>98</v>
      </c>
      <c r="D64" s="124"/>
      <c r="E64" s="124" t="s">
        <v>99</v>
      </c>
      <c r="F64" s="124"/>
      <c r="G64" s="88" t="s">
        <v>100</v>
      </c>
      <c r="H64" s="124" t="s">
        <v>101</v>
      </c>
      <c r="I64" s="90" t="s">
        <v>102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</row>
    <row r="65" spans="2:28" ht="32.25" customHeight="1" thickBot="1">
      <c r="B65" s="42" t="s">
        <v>100</v>
      </c>
      <c r="C65" s="247">
        <v>2</v>
      </c>
      <c r="D65" s="247"/>
      <c r="E65" s="125"/>
      <c r="F65" s="125"/>
      <c r="G65" s="89"/>
      <c r="H65" s="125"/>
      <c r="I65" s="91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</row>
    <row r="66" spans="2:28" ht="9.75" customHeight="1">
      <c r="B66" s="59"/>
      <c r="C66" s="59"/>
      <c r="D66" s="59"/>
      <c r="E66" s="28"/>
      <c r="F66" s="28"/>
      <c r="G66" s="246"/>
      <c r="H66" s="246"/>
      <c r="I66" s="59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</row>
    <row r="67" spans="2:28" ht="15" customHeight="1">
      <c r="B67" s="236" t="s">
        <v>103</v>
      </c>
      <c r="C67" s="236"/>
      <c r="D67" s="236"/>
      <c r="E67" s="236"/>
      <c r="F67" s="236"/>
      <c r="G67" s="236"/>
      <c r="H67" s="236"/>
      <c r="I67" s="236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</row>
    <row r="68" spans="2:28" ht="15" customHeight="1">
      <c r="B68" s="60"/>
      <c r="C68" s="60"/>
      <c r="D68" s="60"/>
      <c r="E68" s="29"/>
      <c r="F68" s="29"/>
      <c r="G68" s="82"/>
      <c r="H68" s="82"/>
      <c r="I68" s="60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</row>
    <row r="69" spans="2:28" ht="36" customHeight="1">
      <c r="B69" s="82" t="e" vm="1">
        <v>#VALUE!</v>
      </c>
      <c r="C69" s="82"/>
      <c r="D69" s="82"/>
      <c r="E69" s="82"/>
      <c r="F69" s="29"/>
      <c r="G69" s="82"/>
      <c r="H69" s="82"/>
      <c r="I69" s="60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</row>
    <row r="70" spans="2:28" ht="36" customHeight="1">
      <c r="B70" s="83"/>
      <c r="C70" s="83"/>
      <c r="D70" s="83"/>
      <c r="E70" s="83"/>
      <c r="F70" s="20"/>
      <c r="G70" s="61"/>
      <c r="H70" s="47">
        <v>46215</v>
      </c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</row>
    <row r="71" spans="2:28" ht="15" customHeight="1">
      <c r="B71" s="235" t="s">
        <v>104</v>
      </c>
      <c r="C71" s="235"/>
      <c r="D71" s="235"/>
      <c r="E71" s="235"/>
      <c r="F71" s="59"/>
      <c r="G71" s="61"/>
      <c r="H71" s="59" t="s">
        <v>105</v>
      </c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</row>
    <row r="72" spans="2:28" ht="14.45">
      <c r="B72" s="7"/>
      <c r="C72" s="67"/>
      <c r="D72" s="67"/>
      <c r="E72" s="20"/>
      <c r="F72" s="20"/>
      <c r="G72" s="77"/>
      <c r="H72" s="93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</row>
    <row r="73" spans="2:28" ht="30" customHeight="1">
      <c r="B73" s="86"/>
      <c r="C73" s="86"/>
      <c r="D73" s="86"/>
      <c r="E73" s="86"/>
      <c r="F73" s="20"/>
      <c r="G73" s="61"/>
      <c r="H73" s="84"/>
      <c r="I73" s="84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</row>
    <row r="74" spans="2:28" ht="38.25" customHeight="1" thickBot="1">
      <c r="B74" s="87"/>
      <c r="C74" s="87"/>
      <c r="D74" s="87"/>
      <c r="E74" s="87"/>
      <c r="F74" s="20"/>
      <c r="G74" s="61"/>
      <c r="H74" s="85"/>
      <c r="I74" s="85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</row>
    <row r="75" spans="2:28" ht="15.75" customHeight="1">
      <c r="B75" s="7"/>
      <c r="C75" s="18" t="s">
        <v>106</v>
      </c>
      <c r="D75" s="18"/>
      <c r="E75" s="20"/>
      <c r="F75" s="20"/>
      <c r="G75" s="61"/>
      <c r="H75" s="235" t="s">
        <v>107</v>
      </c>
      <c r="I75" s="235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</row>
    <row r="76" spans="2:28" ht="7.15" customHeight="1">
      <c r="B76" s="7"/>
      <c r="C76" s="18"/>
      <c r="D76" s="18"/>
      <c r="E76" s="20"/>
      <c r="F76" s="20"/>
      <c r="G76" s="77"/>
      <c r="H76" s="246"/>
      <c r="I76" s="59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</row>
    <row r="77" spans="2:28" ht="18" customHeight="1">
      <c r="B77" s="248" t="s">
        <v>108</v>
      </c>
      <c r="C77" s="248"/>
      <c r="D77" s="248"/>
      <c r="E77" s="248"/>
      <c r="F77" s="248"/>
      <c r="G77" s="248"/>
      <c r="H77" s="248"/>
      <c r="I77" s="248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</row>
    <row r="78" spans="2:28" ht="14.45">
      <c r="B78" s="248"/>
      <c r="C78" s="248"/>
      <c r="D78" s="248"/>
      <c r="E78" s="248"/>
      <c r="F78" s="248"/>
      <c r="G78" s="248"/>
      <c r="H78" s="248"/>
      <c r="I78" s="248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</row>
    <row r="79" spans="2:28" ht="8.4499999999999993" customHeight="1">
      <c r="B79" s="62"/>
      <c r="C79" s="62"/>
      <c r="D79" s="62"/>
      <c r="E79" s="62"/>
      <c r="F79" s="62"/>
      <c r="G79" s="249"/>
      <c r="H79" s="249"/>
      <c r="I79" s="62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</row>
    <row r="80" spans="2:28" ht="24" customHeight="1">
      <c r="B80" s="229" t="s">
        <v>109</v>
      </c>
      <c r="C80" s="230"/>
      <c r="D80" s="230"/>
      <c r="E80" s="230"/>
      <c r="F80" s="230"/>
      <c r="G80" s="230"/>
      <c r="H80" s="230"/>
      <c r="I80" s="231"/>
      <c r="J80" s="8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ht="13.5" customHeight="1">
      <c r="B81" s="232" t="s">
        <v>110</v>
      </c>
      <c r="C81" s="233"/>
      <c r="D81" s="233"/>
      <c r="E81" s="233"/>
      <c r="F81" s="233"/>
      <c r="G81" s="233"/>
      <c r="H81" s="233"/>
      <c r="I81" s="234"/>
      <c r="J81" s="8"/>
      <c r="K81" s="19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s="8" customFormat="1" ht="241.5" customHeight="1" thickBot="1">
      <c r="B82" s="79"/>
      <c r="C82" s="80"/>
      <c r="D82" s="80"/>
      <c r="E82" s="80"/>
      <c r="F82" s="80"/>
      <c r="G82" s="80"/>
      <c r="H82" s="80"/>
      <c r="I82" s="81"/>
    </row>
    <row r="83" spans="2:28" ht="14.45" hidden="1">
      <c r="B83" s="61"/>
      <c r="C83" s="61"/>
      <c r="D83" s="61"/>
      <c r="G83" s="77"/>
      <c r="H83" s="77"/>
      <c r="I83" s="61"/>
      <c r="J83" s="8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spans="2:28" ht="14.45" hidden="1">
      <c r="B84" s="61"/>
      <c r="C84" s="61"/>
      <c r="D84" s="61"/>
      <c r="G84" s="77"/>
      <c r="H84" s="77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</row>
    <row r="85" spans="2:28" ht="14.45" hidden="1">
      <c r="B85" s="61"/>
      <c r="C85" s="61"/>
      <c r="D85" s="61"/>
      <c r="G85" s="77"/>
      <c r="H85" s="77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</row>
    <row r="86" spans="2:28" ht="15" hidden="1" customHeight="1">
      <c r="B86" s="61"/>
      <c r="C86" s="61"/>
      <c r="D86" s="61"/>
      <c r="G86" s="77"/>
      <c r="H86" s="77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</row>
    <row r="87" spans="2:28" ht="15" hidden="1" customHeight="1">
      <c r="B87" s="61"/>
      <c r="C87" s="61"/>
      <c r="D87" s="61"/>
      <c r="G87" s="77"/>
      <c r="H87" s="77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</row>
    <row r="88" spans="2:28" ht="15" hidden="1" customHeight="1">
      <c r="B88" s="61"/>
      <c r="C88" s="61"/>
      <c r="D88" s="61"/>
      <c r="G88" s="77"/>
      <c r="H88" s="77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</row>
    <row r="89" spans="2:28" ht="15" hidden="1" customHeight="1">
      <c r="B89" s="61"/>
      <c r="C89" s="61"/>
      <c r="D89" s="61"/>
      <c r="G89" s="77"/>
      <c r="H89" s="77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</row>
    <row r="90" spans="2:28" ht="15" hidden="1" customHeight="1">
      <c r="B90" s="61"/>
      <c r="C90" s="61"/>
      <c r="D90" s="61"/>
      <c r="G90" s="77"/>
      <c r="H90" s="77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</row>
    <row r="91" spans="2:28" ht="15" hidden="1" customHeight="1">
      <c r="B91" s="61"/>
      <c r="C91" s="61"/>
      <c r="D91" s="61"/>
      <c r="G91" s="77"/>
      <c r="H91" s="77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</row>
    <row r="92" spans="2:28" ht="15" hidden="1" customHeight="1">
      <c r="B92" s="61"/>
      <c r="C92" s="61"/>
      <c r="D92" s="61"/>
      <c r="G92" s="77"/>
      <c r="H92" s="77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</row>
    <row r="93" spans="2:28" ht="15" hidden="1" customHeight="1">
      <c r="B93" s="61"/>
      <c r="C93" s="61"/>
      <c r="D93" s="61"/>
      <c r="G93" s="77"/>
      <c r="H93" s="77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</row>
    <row r="94" spans="2:28" ht="15" hidden="1" customHeight="1">
      <c r="B94" s="61"/>
      <c r="C94" s="61"/>
      <c r="D94" s="61"/>
      <c r="G94" s="77"/>
      <c r="H94" s="77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</row>
    <row r="95" spans="2:28" ht="15" hidden="1" customHeight="1">
      <c r="B95" s="61"/>
      <c r="C95" s="61"/>
      <c r="D95" s="61"/>
      <c r="G95" s="77"/>
      <c r="H95" s="77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</row>
    <row r="96" spans="2:28" ht="15" hidden="1" customHeight="1">
      <c r="B96" s="61"/>
      <c r="C96" s="61"/>
      <c r="D96" s="61"/>
      <c r="G96" s="77"/>
      <c r="H96" s="77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 spans="2:27" ht="15" hidden="1" customHeight="1">
      <c r="B97" s="61"/>
      <c r="C97" s="61"/>
      <c r="D97" s="61"/>
      <c r="G97" s="77"/>
      <c r="H97" s="77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</row>
    <row r="98" spans="2:27" ht="15" hidden="1" customHeight="1">
      <c r="B98" s="61"/>
      <c r="C98" s="61"/>
      <c r="D98" s="61"/>
      <c r="G98" s="77"/>
      <c r="H98" s="77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</row>
    <row r="99" spans="2:27" ht="15" hidden="1" customHeight="1">
      <c r="B99" s="61"/>
      <c r="C99" s="61"/>
      <c r="D99" s="61"/>
      <c r="G99" s="77"/>
      <c r="H99" s="77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</row>
    <row r="100" spans="2:27" ht="15" hidden="1" customHeight="1">
      <c r="B100" s="61"/>
      <c r="C100" s="61"/>
      <c r="D100" s="61"/>
      <c r="G100" s="77"/>
      <c r="H100" s="77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</row>
    <row r="101" spans="2:27" ht="15" hidden="1" customHeight="1">
      <c r="B101" s="61"/>
      <c r="C101" s="61"/>
      <c r="D101" s="61"/>
      <c r="G101" s="77"/>
      <c r="H101" s="77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</row>
    <row r="102" spans="2:27" ht="15" hidden="1" customHeight="1">
      <c r="B102" s="61"/>
      <c r="C102" s="61"/>
      <c r="D102" s="61"/>
      <c r="G102" s="77"/>
      <c r="H102" s="77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</row>
    <row r="103" spans="2:27" ht="15" hidden="1" customHeight="1">
      <c r="B103" s="61"/>
      <c r="C103" s="61"/>
      <c r="D103" s="61"/>
      <c r="G103" s="77"/>
      <c r="H103" s="77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</row>
    <row r="104" spans="2:27" ht="15" hidden="1" customHeight="1">
      <c r="B104" s="61"/>
      <c r="C104" s="61"/>
      <c r="D104" s="61"/>
      <c r="G104" s="77"/>
      <c r="H104" s="77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</row>
    <row r="105" spans="2:27" ht="15" hidden="1" customHeight="1">
      <c r="B105" s="61"/>
      <c r="C105" s="61"/>
      <c r="D105" s="61"/>
      <c r="G105" s="77"/>
      <c r="H105" s="77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</row>
    <row r="106" spans="2:27" ht="15" hidden="1" customHeight="1">
      <c r="B106" s="61"/>
      <c r="C106" s="61"/>
      <c r="D106" s="61"/>
      <c r="G106" s="77"/>
      <c r="H106" s="77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</row>
    <row r="107" spans="2:27" ht="15" hidden="1" customHeight="1">
      <c r="B107" s="61"/>
      <c r="C107" s="61"/>
      <c r="D107" s="61"/>
      <c r="G107" s="77"/>
      <c r="H107" s="77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</row>
    <row r="108" spans="2:27" ht="15" hidden="1" customHeight="1">
      <c r="B108" s="61"/>
      <c r="C108" s="61"/>
      <c r="D108" s="61"/>
      <c r="G108" s="77"/>
      <c r="H108" s="77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</row>
    <row r="109" spans="2:27" ht="15" hidden="1" customHeight="1">
      <c r="B109" s="61"/>
      <c r="C109" s="61"/>
      <c r="D109" s="61"/>
      <c r="G109" s="77"/>
      <c r="H109" s="77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</row>
    <row r="110" spans="2:27" ht="15" hidden="1" customHeight="1">
      <c r="B110" s="61"/>
      <c r="C110" s="61"/>
      <c r="D110" s="61"/>
      <c r="G110" s="77"/>
      <c r="H110" s="77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</row>
    <row r="111" spans="2:27" ht="15" hidden="1" customHeight="1">
      <c r="B111" s="61"/>
      <c r="C111" s="61"/>
      <c r="D111" s="61"/>
      <c r="G111" s="77"/>
      <c r="H111" s="77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</row>
    <row r="112" spans="2:27" ht="15" hidden="1" customHeight="1">
      <c r="B112" s="61"/>
      <c r="C112" s="61"/>
      <c r="D112" s="61"/>
      <c r="G112" s="77"/>
      <c r="H112" s="77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</row>
    <row r="113" spans="2:27" ht="15" customHeight="1">
      <c r="B113" s="61"/>
      <c r="C113" s="61"/>
      <c r="D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</row>
    <row r="114" spans="2:27" ht="15" customHeight="1">
      <c r="B114" s="61"/>
      <c r="C114" s="61"/>
      <c r="D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</row>
  </sheetData>
  <mergeCells count="169">
    <mergeCell ref="F55:F56"/>
    <mergeCell ref="G55:G56"/>
    <mergeCell ref="H55:H56"/>
    <mergeCell ref="I55:I56"/>
    <mergeCell ref="I47:I48"/>
    <mergeCell ref="I51:I52"/>
    <mergeCell ref="I53:I54"/>
    <mergeCell ref="D47:E48"/>
    <mergeCell ref="B80:I80"/>
    <mergeCell ref="B81:I81"/>
    <mergeCell ref="B71:E71"/>
    <mergeCell ref="B59:I59"/>
    <mergeCell ref="B67:I67"/>
    <mergeCell ref="B60:I61"/>
    <mergeCell ref="B62:I62"/>
    <mergeCell ref="H64:H65"/>
    <mergeCell ref="B63:I63"/>
    <mergeCell ref="G66:H66"/>
    <mergeCell ref="G68:H68"/>
    <mergeCell ref="G69:H69"/>
    <mergeCell ref="C64:D64"/>
    <mergeCell ref="C65:D65"/>
    <mergeCell ref="B77:I78"/>
    <mergeCell ref="G76:H76"/>
    <mergeCell ref="G79:H79"/>
    <mergeCell ref="H75:I75"/>
    <mergeCell ref="B55:C56"/>
    <mergeCell ref="D55:E56"/>
    <mergeCell ref="B47:C48"/>
    <mergeCell ref="F47:F48"/>
    <mergeCell ref="G47:G48"/>
    <mergeCell ref="H47:H48"/>
    <mergeCell ref="B49:C50"/>
    <mergeCell ref="D49:E50"/>
    <mergeCell ref="F49:F50"/>
    <mergeCell ref="G49:G50"/>
    <mergeCell ref="H49:H50"/>
    <mergeCell ref="H16:I16"/>
    <mergeCell ref="D45:E46"/>
    <mergeCell ref="F45:F46"/>
    <mergeCell ref="G26:H26"/>
    <mergeCell ref="B53:C54"/>
    <mergeCell ref="H29:I29"/>
    <mergeCell ref="E28:F28"/>
    <mergeCell ref="E29:F29"/>
    <mergeCell ref="B32:F32"/>
    <mergeCell ref="B16:D16"/>
    <mergeCell ref="E16:G16"/>
    <mergeCell ref="H51:H52"/>
    <mergeCell ref="H45:H46"/>
    <mergeCell ref="G45:G46"/>
    <mergeCell ref="B45:C46"/>
    <mergeCell ref="B17:D17"/>
    <mergeCell ref="H20:I20"/>
    <mergeCell ref="B20:D20"/>
    <mergeCell ref="B21:D21"/>
    <mergeCell ref="B51:C52"/>
    <mergeCell ref="D51:E52"/>
    <mergeCell ref="F51:F5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3:I13"/>
    <mergeCell ref="E10:I10"/>
    <mergeCell ref="E11:I11"/>
    <mergeCell ref="B10:D10"/>
    <mergeCell ref="B11:D11"/>
    <mergeCell ref="G9:H9"/>
    <mergeCell ref="G12:H12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E18:G18"/>
    <mergeCell ref="H18:I18"/>
    <mergeCell ref="E19:G19"/>
    <mergeCell ref="H19:I19"/>
    <mergeCell ref="B18:D18"/>
    <mergeCell ref="B19:D19"/>
    <mergeCell ref="E17:G17"/>
    <mergeCell ref="H17:I17"/>
    <mergeCell ref="B23:I23"/>
    <mergeCell ref="B24:E24"/>
    <mergeCell ref="H21:I21"/>
    <mergeCell ref="E21:G21"/>
    <mergeCell ref="E20:G20"/>
    <mergeCell ref="F24:G24"/>
    <mergeCell ref="F25:G25"/>
    <mergeCell ref="I45:I46"/>
    <mergeCell ref="G41:G42"/>
    <mergeCell ref="H41:I42"/>
    <mergeCell ref="B35:I35"/>
    <mergeCell ref="H39:I40"/>
    <mergeCell ref="H36:I36"/>
    <mergeCell ref="C36:F36"/>
    <mergeCell ref="G30:H30"/>
    <mergeCell ref="G34:H34"/>
    <mergeCell ref="G22:H22"/>
    <mergeCell ref="H24:I24"/>
    <mergeCell ref="H25:I25"/>
    <mergeCell ref="B28:D28"/>
    <mergeCell ref="B29:D29"/>
    <mergeCell ref="H28:I28"/>
    <mergeCell ref="B27:I27"/>
    <mergeCell ref="B25:E25"/>
    <mergeCell ref="B31:I31"/>
    <mergeCell ref="G110:H110"/>
    <mergeCell ref="G83:H83"/>
    <mergeCell ref="G84:H84"/>
    <mergeCell ref="G72:H72"/>
    <mergeCell ref="B44:I44"/>
    <mergeCell ref="G39:G40"/>
    <mergeCell ref="G43:H43"/>
    <mergeCell ref="C37:F40"/>
    <mergeCell ref="C41:F42"/>
    <mergeCell ref="B41:B42"/>
    <mergeCell ref="G85:H85"/>
    <mergeCell ref="D53:E54"/>
    <mergeCell ref="F53:F54"/>
    <mergeCell ref="G53:G54"/>
    <mergeCell ref="H53:H54"/>
    <mergeCell ref="G51:G52"/>
    <mergeCell ref="H37:I38"/>
    <mergeCell ref="B37:B40"/>
    <mergeCell ref="G37:G38"/>
    <mergeCell ref="G88:H88"/>
    <mergeCell ref="G89:H89"/>
    <mergeCell ref="E64:F65"/>
    <mergeCell ref="G104:H104"/>
    <mergeCell ref="G95:H95"/>
    <mergeCell ref="B33:F33"/>
    <mergeCell ref="G32:I32"/>
    <mergeCell ref="G33:I33"/>
    <mergeCell ref="G111:H111"/>
    <mergeCell ref="G112:H112"/>
    <mergeCell ref="B58:I58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B82:I82"/>
    <mergeCell ref="B69:E70"/>
    <mergeCell ref="H73:I74"/>
    <mergeCell ref="B73:E74"/>
    <mergeCell ref="G64:G65"/>
    <mergeCell ref="I64:I65"/>
    <mergeCell ref="G86:H86"/>
    <mergeCell ref="G87:H87"/>
    <mergeCell ref="I49:I50"/>
  </mergeCells>
  <phoneticPr fontId="37" type="noConversion"/>
  <conditionalFormatting sqref="B11:I11 B15:I15 B17:I17 B19:I19 B21:I21 B29:I29 H39:I40 B69:E70 B25:I25">
    <cfRule type="containsBlanks" dxfId="10" priority="5">
      <formula>LEN(TRIM(B11))=0</formula>
    </cfRule>
  </conditionalFormatting>
  <conditionalFormatting sqref="F47:I47 B47:D47 F48:H48 B49:H54 B48:C48">
    <cfRule type="containsBlanks" dxfId="9" priority="2">
      <formula>LEN(TRIM(B47))=0</formula>
    </cfRule>
  </conditionalFormatting>
  <conditionalFormatting sqref="G64:G65 I64:I65 B65:D65 H70">
    <cfRule type="containsBlanks" dxfId="8" priority="6">
      <formula>LEN(TRIM(B64))=0</formula>
    </cfRule>
  </conditionalFormatting>
  <conditionalFormatting sqref="B55:H56">
    <cfRule type="containsBlanks" dxfId="7" priority="1">
      <formula>LEN(TRIM(B55))=0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7" xr:uid="{1EF4E3E9-6D3D-4AE1-8170-FF1AAEA1E1B9}"/>
    <dataValidation allowBlank="1" showInputMessage="1" showErrorMessage="1" prompt="Ingresar fecha de inicio de la actividad" sqref="F47:F57" xr:uid="{32DD5E98-EAF7-430B-97F3-79C3622F702E}"/>
    <dataValidation allowBlank="1" showInputMessage="1" showErrorMessage="1" prompt="Ingresar fecha de finalizacion de la actividad" sqref="G47:G57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7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5" xr:uid="{399AC36A-2FBC-4A36-BEF2-DB6479D0AE91}"/>
    <dataValidation allowBlank="1" showInputMessage="1" showErrorMessage="1" prompt="Indiquie el nivel asignado de riego del 1 al 5" sqref="C65:D65" xr:uid="{0B51F00F-01A3-4D67-B07C-4E070A35CC22}"/>
    <dataValidation allowBlank="1" showInputMessage="1" showErrorMessage="1" promptTitle="Si / No" prompt="Si / No" sqref="G64:G65" xr:uid="{635C8396-AD4E-4569-B1B1-E0EA70CFBAA0}"/>
    <dataValidation allowBlank="1" showInputMessage="1" showErrorMessage="1" promptTitle="Si / No/ Na" prompt="Si / No/ Na" sqref="I64:I65" xr:uid="{063D55C3-396A-4363-AE8F-8162D9A36EE0}"/>
    <dataValidation allowBlank="1" showInputMessage="1" showErrorMessage="1" promptTitle="Ingresar fecha de entrega" prompt="Ingresar fecha de entrega de bitácora dd/mm/aa" sqref="H70" xr:uid="{A289CADA-9F97-4709-9E74-EED0C11350F2}"/>
    <dataValidation allowBlank="1" showInputMessage="1" showErrorMessage="1" prompt="Ingresar la firma del aprendiz grafiada o imagen, limpiar el fondo de la firma si se evidencia. No se aceptan firmas Digitadas" sqref="B69:E70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3:I74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2:I82" xr:uid="{40D2D8F2-1FE7-4A55-AF5E-54C9B05900F3}"/>
  </dataValidations>
  <hyperlinks>
    <hyperlink ref="B17" r:id="rId1" xr:uid="{273C202A-116C-4A92-AF64-DA5BBF7E530F}"/>
    <hyperlink ref="E17" r:id="rId2" xr:uid="{E3B5E065-0AF5-416E-95F4-79D4345FB201}"/>
    <hyperlink ref="H29" r:id="rId3" xr:uid="{D006C59E-5C4A-4DAB-B4FA-CA1AFD16CACD}"/>
  </hyperlinks>
  <pageMargins left="0.51181102362204722" right="0.51181102362204722" top="0.35433070866141736" bottom="0.35433070866141736" header="0.31496062992125984" footer="0.31496062992125984"/>
  <pageSetup paperSize="5" scale="38" fitToHeight="0" orientation="portrait" horizontalDpi="4294967294" r:id="rId4"/>
  <drawing r:id="rId5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Title="Despliegue el listado AQUI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 D49:E57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5944-189C-4F5D-9CE2-C4B36B6B91BB}">
  <dimension ref="A1:K39"/>
  <sheetViews>
    <sheetView topLeftCell="B1" workbookViewId="0">
      <selection activeCell="F3" sqref="F3"/>
    </sheetView>
  </sheetViews>
  <sheetFormatPr defaultColWidth="11.42578125" defaultRowHeight="14.4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" thickBot="1">
      <c r="A1" s="50" t="s">
        <v>111</v>
      </c>
      <c r="B1" s="51" t="s">
        <v>112</v>
      </c>
      <c r="C1" s="52" t="s">
        <v>113</v>
      </c>
    </row>
    <row r="2" spans="1:11" ht="25.5" thickBot="1">
      <c r="A2" s="53" t="s">
        <v>30</v>
      </c>
      <c r="B2" s="54" t="s">
        <v>75</v>
      </c>
      <c r="C2" s="57" t="s">
        <v>114</v>
      </c>
      <c r="E2" t="str" cm="1">
        <f t="array" ref="E2:E3">_xlfn.UNIQUE(TablaSena[PROGRAMA])</f>
        <v>Análisis y Desarrollo de Software</v>
      </c>
      <c r="F2" t="str" cm="1">
        <f t="array" ref="F2:F8">_xlfn.UNIQUE(_xlfn._xlws.FILTER(TablaSena[COMPETENCIA], TablaSena[PROGRAMA]=Bitacora!$H$19, "Seleccione Programa"))</f>
        <v>38392 - Establecer requisitos de la solución de software de acuerdo con estándares y procedimiento técnico</v>
      </c>
      <c r="G2" t="str" cm="1">
        <f t="array" ref="G2:G5">_xlfn._xlws.FILTER(TablaSena[RESULTADO DE APRENDIZAJE (RAP)], TablaSena[COMPETENCIA]='[1]Formato Visita 1'!$C$50, "...")</f>
        <v>593346 - 01 CARACTERIZAR LOS PROCESOS DE LA ORGANIZACIÓN DE ACUERDO CON EL SOFTWARE A CONSTRUIR</v>
      </c>
      <c r="H2" t="str" cm="1">
        <f t="array" ref="H2:H5">_xlfn._xlws.FILTER(TablaSena[RESULTADO DE APRENDIZAJE (RAP)], TablaSena[COMPETENCIA]='[1]Formato Visita 1'!$C$51, "...")</f>
        <v>593101 - 02 ESTRUCTURAR EL MODELO DE DATOS DEL SOFTWARE DE ACUERDO CON LAS ESPECIFICACIONES DEL ANÁLISIS</v>
      </c>
      <c r="I2" t="str" cm="1">
        <f t="array" ref="I2:I6">_xlfn._xlws.FILTER(TablaSena[RESULTADO DE APRENDIZAJE (RAP)], TablaSena[COMPETENCIA]='[1]Formato Visita 1'!$C$52, "...")</f>
        <v>593107 - 02 CONSTRUIR LA BASE DE DATOS PARA EL SOFTWARE A PARTIR DEL MODELO DE DATOS</v>
      </c>
      <c r="J2" t="str" cm="1">
        <f t="array" ref="J2:J3">_xlfn._xlws.FILTER(TablaSena[RESULTADO DE APRENDIZAJE (RAP)], TablaSena[COMPETENCIA]='[1]Formato Visita 1'!$C$53, "...")</f>
        <v>593060 - 01 DEFINIR ESPECIFICACIONES TÉCNICAS DEL SOFTWARE DE ACUERDO CON LAS CARACTERÍSTICAS DEL SOFTWARE A CONSTRUIR</v>
      </c>
      <c r="K2" t="str" cm="1">
        <f t="array" ref="K2:K5">_xlfn._xlws.FILTER(TablaSena[RESULTADO DE APRENDIZAJE (RAP)], TablaSena[COMPETENCIA]='[1]Formato Visita 1'!$C$54, "...")</f>
        <v>592375 - 01 PLANEAR ACTIVIDADES DE ANÁLISIS DE ACUERDO CON LA METODOLOGÍA SELECCIONADA</v>
      </c>
    </row>
    <row r="3" spans="1:11" ht="25.5" thickBot="1">
      <c r="A3" s="53" t="s">
        <v>30</v>
      </c>
      <c r="B3" s="54" t="s">
        <v>75</v>
      </c>
      <c r="C3" s="57" t="s">
        <v>115</v>
      </c>
      <c r="E3" t="str">
        <v>Programación de Software</v>
      </c>
      <c r="F3" t="str">
        <v>38376 - Evaluar requisitos de la solución de software de acuerdo con metodologías de análisis y estándares</v>
      </c>
      <c r="G3" t="str">
        <v>593345 - 04 VALIDAR EL INFORME DE REQUISITOS DE ACUERDO CON LAS NECESIDADES DEL CLIENTE</v>
      </c>
      <c r="H3" t="str">
        <v>593103 - 01 ELABORAR LOS ARTEFACTOS DE DISEÑO DEL SOFTWARE SIGUIENDO LAS PRÁCTICAS DE LA METODOLOGÍA SELECCIONADA</v>
      </c>
      <c r="I3" t="str">
        <v>593106 - 01 PLANEAR ACTIVIDADES DE CONSTRUCCIÓN DEL SOFTWARE DE ACUERDO CON EL DISEÑO ESTABLECIDO</v>
      </c>
      <c r="J3" t="str">
        <v>593062 - 02 ELABORAR PROPUESTA TÉCNICA DEL SOFTWARE DE ACUERDO CON LAS ESPECIFICACIONES TÉCNICAS DEFINIDAS</v>
      </c>
      <c r="K3" t="str">
        <v>592374 - 04 VERIFICAR LOS MODELOS REALIZADOS EN LA FASE DE ANÁLISIS DE ACUERDO CON LO ESTABLECIDO EN EL INFORME DE REQUISITOS</v>
      </c>
    </row>
    <row r="4" spans="1:11" ht="25.5" thickBot="1">
      <c r="A4" s="53" t="s">
        <v>30</v>
      </c>
      <c r="B4" s="54" t="s">
        <v>75</v>
      </c>
      <c r="C4" s="57" t="s">
        <v>116</v>
      </c>
      <c r="F4" t="str">
        <v>38362 - Diseñar la solución de software de acuerdo con procedimientos y requisitos técnicos</v>
      </c>
      <c r="G4" t="str">
        <v>593344 - 02 RECOLECTAR INFORMACIÓN DEL SOFTWARE A CONSTRUIR DE ACUERDO CON LAS NECESIDADES DEL CLIENTE</v>
      </c>
      <c r="H4" t="str">
        <v>593102 - 04 VERIFICAR LOS ENTREGABLES DE LA FASE DE DISEÑO DEL SOFTWARE DE ACUERDO CON LO ESTABLECIDO EN EL INFORME DE ANÁLISIS</v>
      </c>
      <c r="I4" t="str">
        <v>593104 - 03 CREAR COMPONENTES FRONT-END DEL SOFTWARE DE ACUERDO CON EL DISEÑO</v>
      </c>
      <c r="K4" t="str">
        <v>592376 - 03 DESARROLLAR PROCESOS LÓGICOS A TRAVÉS DE LA IMPLEMENTACIÓN DE ALGORITMOS</v>
      </c>
    </row>
    <row r="5" spans="1:11" ht="25.5" thickBot="1">
      <c r="A5" s="53" t="s">
        <v>30</v>
      </c>
      <c r="B5" s="54" t="s">
        <v>75</v>
      </c>
      <c r="C5" s="57" t="s">
        <v>117</v>
      </c>
      <c r="F5" t="str">
        <v>38368 - Desarrollar la solución de software de acuerdo con el diseño y metodologías de desarrollo</v>
      </c>
      <c r="G5" t="str">
        <v>38392 - 03 ESTABLECER LOS REQUISITOS DEL SOFTWARE DE ACUERDO CON LA INFORMACIÓN RECOLECTADA</v>
      </c>
      <c r="H5" t="str">
        <v>593100 - 03 DETERMINAR LAS CARACTERÍSTICAS TÉCNICAS DE LA INTERFAZ GRÁFICA DEL SOFTWARE ADOPTANDO ESTÁNDARES</v>
      </c>
      <c r="I5" t="str">
        <v>593108 - 04 CODIFICAR EL SOFTWARE DE ACUERDO CON EL DISEÑO ESTABLECIDO</v>
      </c>
      <c r="K5" t="str">
        <v>592373 - 02 MODELAR LAS FUNCIONES DEL SOFTWARE DE ACUERDO CON EL INFORME DE REQUISITOS</v>
      </c>
    </row>
    <row r="6" spans="1:11" ht="25.5" thickBot="1">
      <c r="A6" s="53" t="s">
        <v>30</v>
      </c>
      <c r="B6" s="54" t="s">
        <v>118</v>
      </c>
      <c r="C6" s="57" t="s">
        <v>119</v>
      </c>
      <c r="F6" t="str">
        <v>38369 - Controlar la calidad del servicio de software de acuerdo con los estándares técnicos</v>
      </c>
      <c r="I6" t="str">
        <v>593105 - 05 REALIZAR PRUEBAS AL SOFTWARE PARA VERIFICAR SU FUNCIONALIDAD</v>
      </c>
    </row>
    <row r="7" spans="1:11" ht="25.5" thickBot="1">
      <c r="A7" s="53" t="s">
        <v>30</v>
      </c>
      <c r="B7" s="54" t="s">
        <v>118</v>
      </c>
      <c r="C7" s="57" t="s">
        <v>120</v>
      </c>
      <c r="F7" t="str">
        <v>38367 - Estructurar propuesta técnica de servicio de tecnología de la información según requisitos técnicos y normativa</v>
      </c>
    </row>
    <row r="8" spans="1:11" ht="25.5" thickBot="1">
      <c r="A8" s="53" t="s">
        <v>30</v>
      </c>
      <c r="B8" s="54" t="s">
        <v>118</v>
      </c>
      <c r="C8" s="57" t="s">
        <v>121</v>
      </c>
      <c r="F8" t="str">
        <v>38356 - Implementar la solución de software de acuerdo con los requisitos de operación y modelos de referencia</v>
      </c>
    </row>
    <row r="9" spans="1:11" ht="25.5" thickBot="1">
      <c r="A9" s="53" t="s">
        <v>30</v>
      </c>
      <c r="B9" s="54" t="s">
        <v>118</v>
      </c>
      <c r="C9" s="57" t="s">
        <v>122</v>
      </c>
    </row>
    <row r="10" spans="1:11" ht="25.5" thickBot="1">
      <c r="A10" s="53" t="s">
        <v>30</v>
      </c>
      <c r="B10" s="54" t="s">
        <v>83</v>
      </c>
      <c r="C10" s="57" t="s">
        <v>123</v>
      </c>
    </row>
    <row r="11" spans="1:11" ht="25.5" thickBot="1">
      <c r="A11" s="53" t="s">
        <v>30</v>
      </c>
      <c r="B11" s="54" t="s">
        <v>83</v>
      </c>
      <c r="C11" s="57" t="s">
        <v>124</v>
      </c>
    </row>
    <row r="12" spans="1:11" ht="25.5" thickBot="1">
      <c r="A12" s="53" t="s">
        <v>30</v>
      </c>
      <c r="B12" s="54" t="s">
        <v>83</v>
      </c>
      <c r="C12" s="57" t="s">
        <v>125</v>
      </c>
    </row>
    <row r="13" spans="1:11" ht="25.5" thickBot="1">
      <c r="A13" s="53" t="s">
        <v>30</v>
      </c>
      <c r="B13" s="54" t="s">
        <v>83</v>
      </c>
      <c r="C13" s="57" t="s">
        <v>126</v>
      </c>
    </row>
    <row r="14" spans="1:11" ht="25.5" thickBot="1">
      <c r="A14" s="53" t="s">
        <v>30</v>
      </c>
      <c r="B14" s="54" t="s">
        <v>79</v>
      </c>
      <c r="C14" s="57" t="s">
        <v>127</v>
      </c>
    </row>
    <row r="15" spans="1:11" ht="25.5" thickBot="1">
      <c r="A15" s="53" t="s">
        <v>30</v>
      </c>
      <c r="B15" s="54" t="s">
        <v>79</v>
      </c>
      <c r="C15" s="57" t="s">
        <v>128</v>
      </c>
    </row>
    <row r="16" spans="1:11" ht="25.5" thickBot="1">
      <c r="A16" s="53" t="s">
        <v>30</v>
      </c>
      <c r="B16" s="54" t="s">
        <v>79</v>
      </c>
      <c r="C16" s="57" t="s">
        <v>129</v>
      </c>
    </row>
    <row r="17" spans="1:3" ht="25.5" thickBot="1">
      <c r="A17" s="53" t="s">
        <v>30</v>
      </c>
      <c r="B17" s="54" t="s">
        <v>79</v>
      </c>
      <c r="C17" s="57" t="s">
        <v>130</v>
      </c>
    </row>
    <row r="18" spans="1:3" ht="25.5" thickBot="1">
      <c r="A18" s="53" t="s">
        <v>30</v>
      </c>
      <c r="B18" s="54" t="s">
        <v>79</v>
      </c>
      <c r="C18" s="57" t="s">
        <v>131</v>
      </c>
    </row>
    <row r="19" spans="1:3" ht="25.5" thickBot="1">
      <c r="A19" s="53" t="s">
        <v>30</v>
      </c>
      <c r="B19" s="54" t="s">
        <v>132</v>
      </c>
      <c r="C19" s="57" t="s">
        <v>133</v>
      </c>
    </row>
    <row r="20" spans="1:3" ht="25.5" thickBot="1">
      <c r="A20" s="53" t="s">
        <v>30</v>
      </c>
      <c r="B20" s="54" t="s">
        <v>132</v>
      </c>
      <c r="C20" s="57" t="s">
        <v>134</v>
      </c>
    </row>
    <row r="21" spans="1:3" ht="25.5" thickBot="1">
      <c r="A21" s="53" t="s">
        <v>30</v>
      </c>
      <c r="B21" s="54" t="s">
        <v>132</v>
      </c>
      <c r="C21" s="57" t="s">
        <v>135</v>
      </c>
    </row>
    <row r="22" spans="1:3" ht="25.5" thickBot="1">
      <c r="A22" s="53" t="s">
        <v>30</v>
      </c>
      <c r="B22" s="54" t="s">
        <v>136</v>
      </c>
      <c r="C22" s="57" t="s">
        <v>137</v>
      </c>
    </row>
    <row r="23" spans="1:3" ht="25.5" thickBot="1">
      <c r="A23" s="53" t="s">
        <v>30</v>
      </c>
      <c r="B23" s="54" t="s">
        <v>136</v>
      </c>
      <c r="C23" s="57" t="s">
        <v>138</v>
      </c>
    </row>
    <row r="24" spans="1:3" ht="25.5" thickBot="1">
      <c r="A24" s="53" t="s">
        <v>30</v>
      </c>
      <c r="B24" s="54" t="s">
        <v>139</v>
      </c>
      <c r="C24" s="57" t="s">
        <v>140</v>
      </c>
    </row>
    <row r="25" spans="1:3" ht="25.5" thickBot="1">
      <c r="A25" s="53" t="s">
        <v>30</v>
      </c>
      <c r="B25" s="54" t="s">
        <v>139</v>
      </c>
      <c r="C25" s="57" t="s">
        <v>141</v>
      </c>
    </row>
    <row r="26" spans="1:3" ht="25.5" thickBot="1">
      <c r="A26" s="53" t="s">
        <v>30</v>
      </c>
      <c r="B26" s="54" t="s">
        <v>139</v>
      </c>
      <c r="C26" s="57" t="s">
        <v>142</v>
      </c>
    </row>
    <row r="27" spans="1:3" ht="25.5" thickBot="1">
      <c r="A27" s="53" t="s">
        <v>30</v>
      </c>
      <c r="B27" s="54" t="s">
        <v>139</v>
      </c>
      <c r="C27" s="57" t="s">
        <v>143</v>
      </c>
    </row>
    <row r="28" spans="1:3" ht="25.5" thickBot="1">
      <c r="A28" s="53" t="s">
        <v>144</v>
      </c>
      <c r="B28" s="54" t="s">
        <v>145</v>
      </c>
      <c r="C28" s="57" t="s">
        <v>146</v>
      </c>
    </row>
    <row r="29" spans="1:3" ht="25.5" thickBot="1">
      <c r="A29" s="53" t="s">
        <v>144</v>
      </c>
      <c r="B29" s="54" t="s">
        <v>145</v>
      </c>
      <c r="C29" s="57" t="s">
        <v>147</v>
      </c>
    </row>
    <row r="30" spans="1:3" ht="25.5" thickBot="1">
      <c r="A30" s="53" t="s">
        <v>144</v>
      </c>
      <c r="B30" s="54" t="s">
        <v>145</v>
      </c>
      <c r="C30" s="57" t="s">
        <v>148</v>
      </c>
    </row>
    <row r="31" spans="1:3" ht="25.5" thickBot="1">
      <c r="A31" s="53" t="s">
        <v>144</v>
      </c>
      <c r="B31" s="54" t="s">
        <v>145</v>
      </c>
      <c r="C31" s="57" t="s">
        <v>149</v>
      </c>
    </row>
    <row r="32" spans="1:3" ht="25.5" thickBot="1">
      <c r="A32" s="53" t="s">
        <v>144</v>
      </c>
      <c r="B32" s="54" t="s">
        <v>150</v>
      </c>
      <c r="C32" s="57" t="s">
        <v>151</v>
      </c>
    </row>
    <row r="33" spans="1:3" ht="25.5" thickBot="1">
      <c r="A33" s="53" t="s">
        <v>144</v>
      </c>
      <c r="B33" s="54" t="s">
        <v>150</v>
      </c>
      <c r="C33" s="57" t="s">
        <v>152</v>
      </c>
    </row>
    <row r="34" spans="1:3" ht="25.5" thickBot="1">
      <c r="A34" s="53" t="s">
        <v>144</v>
      </c>
      <c r="B34" s="54" t="s">
        <v>150</v>
      </c>
      <c r="C34" s="57" t="s">
        <v>153</v>
      </c>
    </row>
    <row r="35" spans="1:3" ht="25.5" thickBot="1">
      <c r="A35" s="53" t="s">
        <v>144</v>
      </c>
      <c r="B35" s="54" t="s">
        <v>154</v>
      </c>
      <c r="C35" s="57" t="s">
        <v>155</v>
      </c>
    </row>
    <row r="36" spans="1:3" ht="25.5" thickBot="1">
      <c r="A36" s="53" t="s">
        <v>144</v>
      </c>
      <c r="B36" s="54" t="s">
        <v>154</v>
      </c>
      <c r="C36" s="57" t="s">
        <v>156</v>
      </c>
    </row>
    <row r="37" spans="1:3" ht="25.5" thickBot="1">
      <c r="A37" s="53" t="s">
        <v>144</v>
      </c>
      <c r="B37" s="54" t="s">
        <v>157</v>
      </c>
      <c r="C37" s="57" t="s">
        <v>158</v>
      </c>
    </row>
    <row r="38" spans="1:3" ht="25.5" thickBot="1">
      <c r="A38" s="53" t="s">
        <v>144</v>
      </c>
      <c r="B38" s="54" t="s">
        <v>157</v>
      </c>
      <c r="C38" s="57" t="s">
        <v>159</v>
      </c>
    </row>
    <row r="39" spans="1:3" ht="24.95">
      <c r="A39" s="55" t="s">
        <v>144</v>
      </c>
      <c r="B39" s="56" t="s">
        <v>160</v>
      </c>
      <c r="C39" s="58" t="s">
        <v>161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defaultColWidth="11.42578125" defaultRowHeight="14.45"/>
  <sheetData>
    <row r="1" spans="4:4">
      <c r="D1">
        <v>1</v>
      </c>
    </row>
    <row r="2" spans="4:4">
      <c r="D2">
        <v>2</v>
      </c>
    </row>
    <row r="3" spans="4:4">
      <c r="D3">
        <v>3</v>
      </c>
    </row>
    <row r="4" spans="4:4">
      <c r="D4">
        <v>4</v>
      </c>
    </row>
    <row r="5" spans="4:4">
      <c r="D5">
        <v>5</v>
      </c>
    </row>
    <row r="6" spans="4:4">
      <c r="D6">
        <v>6</v>
      </c>
    </row>
    <row r="7" spans="4:4">
      <c r="D7">
        <v>7</v>
      </c>
    </row>
    <row r="8" spans="4:4">
      <c r="D8">
        <v>8</v>
      </c>
    </row>
    <row r="9" spans="4:4">
      <c r="D9">
        <v>9</v>
      </c>
    </row>
    <row r="10" spans="4:4">
      <c r="D10">
        <v>10</v>
      </c>
    </row>
    <row r="11" spans="4:4">
      <c r="D11">
        <v>11</v>
      </c>
    </row>
    <row r="12" spans="4:4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defaultColWidth="11.42578125" defaultRowHeight="14.4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600000000000001">
      <c r="A1" s="250" t="s">
        <v>162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 t="s">
        <v>163</v>
      </c>
      <c r="V1" s="250"/>
      <c r="W1" s="250"/>
      <c r="X1" s="250"/>
    </row>
    <row r="2" spans="1:24" ht="33" customHeight="1">
      <c r="A2" s="250"/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8" t="s">
        <v>164</v>
      </c>
      <c r="V2" s="258"/>
      <c r="W2" s="258"/>
      <c r="X2" s="258"/>
    </row>
    <row r="3" spans="1:24" ht="33" customHeight="1" thickBot="1">
      <c r="U3" s="259"/>
      <c r="V3" s="259"/>
      <c r="W3" s="259"/>
      <c r="X3" s="259"/>
    </row>
    <row r="4" spans="1:24" s="2" customFormat="1" ht="18" customHeight="1" thickBot="1">
      <c r="A4" s="255" t="s">
        <v>165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7"/>
      <c r="N4" s="255" t="s">
        <v>166</v>
      </c>
      <c r="O4" s="256"/>
      <c r="P4" s="256"/>
      <c r="Q4" s="256"/>
      <c r="R4" s="256"/>
      <c r="S4" s="256"/>
      <c r="T4" s="256"/>
      <c r="U4" s="256"/>
      <c r="V4" s="256"/>
      <c r="W4" s="256"/>
      <c r="X4" s="257"/>
    </row>
    <row r="5" spans="1:24" ht="18" customHeight="1" thickBot="1">
      <c r="A5" s="252"/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4"/>
      <c r="N5" s="252"/>
      <c r="O5" s="253"/>
      <c r="P5" s="253"/>
      <c r="Q5" s="253"/>
      <c r="R5" s="253"/>
      <c r="S5" s="253"/>
      <c r="T5" s="253"/>
      <c r="U5" s="253"/>
      <c r="V5" s="253"/>
      <c r="W5" s="253"/>
      <c r="X5" s="254"/>
    </row>
    <row r="6" spans="1:24" ht="9.9499999999999993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>
      <c r="A7" s="251" t="s">
        <v>167</v>
      </c>
      <c r="B7" s="251"/>
      <c r="C7" s="251"/>
      <c r="D7" s="251"/>
      <c r="E7" s="251"/>
      <c r="F7" s="251"/>
      <c r="G7" s="251"/>
      <c r="H7" s="251"/>
      <c r="I7" s="251"/>
      <c r="J7" s="251" t="s">
        <v>168</v>
      </c>
      <c r="K7" s="251"/>
      <c r="L7" s="251"/>
      <c r="M7" s="251"/>
      <c r="N7" s="251"/>
      <c r="O7" s="251"/>
      <c r="P7" s="251" t="s">
        <v>169</v>
      </c>
      <c r="Q7" s="251"/>
      <c r="R7" s="251"/>
      <c r="S7" s="251"/>
      <c r="T7" s="251"/>
      <c r="U7" s="251"/>
      <c r="V7" s="251"/>
      <c r="W7" s="251"/>
      <c r="X7" s="251"/>
    </row>
    <row r="8" spans="1:24" ht="18" customHeight="1">
      <c r="A8" s="260"/>
      <c r="B8" s="260"/>
      <c r="C8" s="260"/>
      <c r="D8" s="260"/>
      <c r="E8" s="260"/>
      <c r="F8" s="260"/>
      <c r="G8" s="260"/>
      <c r="H8" s="260"/>
      <c r="I8" s="260"/>
      <c r="J8" s="261" t="s">
        <v>170</v>
      </c>
      <c r="K8" s="262"/>
      <c r="L8" s="262"/>
      <c r="M8" s="262"/>
      <c r="N8" s="262"/>
      <c r="O8" s="263"/>
      <c r="P8" s="261" t="s">
        <v>171</v>
      </c>
      <c r="Q8" s="262"/>
      <c r="R8" s="262"/>
      <c r="S8" s="262"/>
      <c r="T8" s="262"/>
      <c r="U8" s="262"/>
      <c r="V8" s="262"/>
      <c r="W8" s="262"/>
      <c r="X8" s="263"/>
    </row>
    <row r="9" spans="1:24" ht="9.9499999999999993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>
      <c r="A10" s="264" t="s">
        <v>172</v>
      </c>
      <c r="B10" s="264"/>
      <c r="C10" s="264"/>
      <c r="D10" s="264"/>
      <c r="E10" s="264"/>
      <c r="F10" s="264"/>
      <c r="G10" s="264"/>
      <c r="H10" s="264"/>
      <c r="I10" s="264"/>
      <c r="J10" s="264"/>
      <c r="K10" s="264"/>
      <c r="L10" s="264"/>
      <c r="M10" s="264"/>
      <c r="N10" s="264"/>
      <c r="O10" s="264"/>
      <c r="P10" s="264"/>
      <c r="Q10" s="264"/>
      <c r="R10" s="264"/>
      <c r="S10" s="264"/>
      <c r="T10" s="264"/>
      <c r="U10" s="264"/>
      <c r="V10" s="264"/>
      <c r="W10" s="264"/>
      <c r="X10" s="264"/>
    </row>
    <row r="11" spans="1:24" ht="18" customHeight="1">
      <c r="A11" s="265" t="s">
        <v>173</v>
      </c>
      <c r="B11" s="265"/>
      <c r="C11" s="265"/>
      <c r="D11" s="265"/>
      <c r="E11" s="265"/>
      <c r="F11" s="265"/>
      <c r="G11" s="265" t="s">
        <v>174</v>
      </c>
      <c r="H11" s="265"/>
      <c r="I11" s="265"/>
      <c r="J11" s="265"/>
      <c r="K11" s="265"/>
      <c r="L11" s="265"/>
      <c r="M11" s="265" t="s">
        <v>175</v>
      </c>
      <c r="N11" s="265"/>
      <c r="O11" s="265"/>
      <c r="P11" s="265"/>
      <c r="Q11" s="265"/>
      <c r="R11" s="265"/>
      <c r="S11" s="265" t="s">
        <v>176</v>
      </c>
      <c r="T11" s="265"/>
      <c r="U11" s="265"/>
      <c r="V11" s="265"/>
      <c r="W11" s="265"/>
      <c r="X11" s="265"/>
    </row>
    <row r="12" spans="1:24" ht="9.9499999999999993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>
      <c r="A13" s="251" t="s">
        <v>177</v>
      </c>
      <c r="B13" s="251"/>
      <c r="C13" s="251"/>
      <c r="D13" s="251"/>
      <c r="E13" s="251"/>
      <c r="F13" s="251"/>
      <c r="G13" s="251"/>
      <c r="H13" s="251"/>
      <c r="I13" s="251"/>
      <c r="J13" s="251" t="s">
        <v>168</v>
      </c>
      <c r="K13" s="251"/>
      <c r="L13" s="251"/>
      <c r="M13" s="251"/>
      <c r="N13" s="251"/>
      <c r="O13" s="251"/>
      <c r="P13" s="251" t="s">
        <v>169</v>
      </c>
      <c r="Q13" s="251"/>
      <c r="R13" s="251"/>
      <c r="S13" s="251"/>
      <c r="T13" s="251"/>
      <c r="U13" s="251"/>
      <c r="V13" s="251"/>
      <c r="W13" s="251"/>
      <c r="X13" s="251"/>
    </row>
    <row r="14" spans="1:24" ht="18" customHeight="1">
      <c r="A14" s="260"/>
      <c r="B14" s="260"/>
      <c r="C14" s="260"/>
      <c r="D14" s="260"/>
      <c r="E14" s="260"/>
      <c r="F14" s="260"/>
      <c r="G14" s="260"/>
      <c r="H14" s="260"/>
      <c r="I14" s="260"/>
      <c r="J14" s="261" t="s">
        <v>178</v>
      </c>
      <c r="K14" s="262"/>
      <c r="L14" s="262"/>
      <c r="M14" s="262"/>
      <c r="N14" s="262"/>
      <c r="O14" s="263"/>
      <c r="P14" s="261" t="s">
        <v>179</v>
      </c>
      <c r="Q14" s="262"/>
      <c r="R14" s="262"/>
      <c r="S14" s="262"/>
      <c r="T14" s="262"/>
      <c r="U14" s="262"/>
      <c r="V14" s="262"/>
      <c r="W14" s="262"/>
      <c r="X14" s="263"/>
    </row>
    <row r="15" spans="1:24" ht="9.9499999999999993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>
      <c r="A16" s="271" t="s">
        <v>180</v>
      </c>
      <c r="B16" s="271"/>
      <c r="C16" s="271"/>
      <c r="D16" s="271"/>
      <c r="E16" s="271"/>
      <c r="F16" s="271"/>
      <c r="G16" s="271"/>
      <c r="H16" s="271"/>
      <c r="I16" s="271"/>
      <c r="J16" s="272" t="s">
        <v>181</v>
      </c>
      <c r="K16" s="272"/>
      <c r="L16" s="272"/>
      <c r="M16" s="272"/>
      <c r="N16" s="271" t="s">
        <v>182</v>
      </c>
      <c r="O16" s="271"/>
      <c r="P16" s="271"/>
      <c r="Q16" s="271"/>
      <c r="R16" s="271"/>
      <c r="S16" s="271"/>
      <c r="T16" s="273" t="s">
        <v>183</v>
      </c>
      <c r="U16" s="273"/>
      <c r="V16" s="273"/>
      <c r="W16" s="273"/>
      <c r="X16" s="273"/>
    </row>
    <row r="17" spans="1:24" ht="18" customHeight="1">
      <c r="A17" s="266" t="s">
        <v>184</v>
      </c>
      <c r="B17" s="258"/>
      <c r="C17" s="258"/>
      <c r="D17" s="258"/>
      <c r="E17" s="258"/>
      <c r="F17" s="258"/>
      <c r="G17" s="258"/>
      <c r="H17" s="258"/>
      <c r="I17" s="267"/>
      <c r="J17" s="274" t="s">
        <v>185</v>
      </c>
      <c r="K17" s="275"/>
      <c r="L17" s="275"/>
      <c r="M17" s="276"/>
      <c r="N17" s="266" t="s">
        <v>186</v>
      </c>
      <c r="O17" s="258"/>
      <c r="P17" s="258"/>
      <c r="Q17" s="258"/>
      <c r="R17" s="258"/>
      <c r="S17" s="267"/>
      <c r="T17" s="266" t="s">
        <v>187</v>
      </c>
      <c r="U17" s="258"/>
      <c r="V17" s="258"/>
      <c r="W17" s="258"/>
      <c r="X17" s="267"/>
    </row>
    <row r="18" spans="1:24" ht="48.75" customHeight="1">
      <c r="A18" s="268"/>
      <c r="B18" s="269"/>
      <c r="C18" s="269"/>
      <c r="D18" s="269"/>
      <c r="E18" s="269"/>
      <c r="F18" s="269"/>
      <c r="G18" s="269"/>
      <c r="H18" s="269"/>
      <c r="I18" s="270"/>
      <c r="J18" s="277"/>
      <c r="K18" s="278"/>
      <c r="L18" s="278"/>
      <c r="M18" s="279"/>
      <c r="N18" s="268"/>
      <c r="O18" s="269"/>
      <c r="P18" s="269"/>
      <c r="Q18" s="269"/>
      <c r="R18" s="269"/>
      <c r="S18" s="270"/>
      <c r="T18" s="268"/>
      <c r="U18" s="269"/>
      <c r="V18" s="269"/>
      <c r="W18" s="269"/>
      <c r="X18" s="270"/>
    </row>
    <row r="19" spans="1:24" ht="39" customHeight="1"/>
    <row r="20" spans="1:24" ht="39" customHeight="1"/>
    <row r="21" spans="1:24">
      <c r="A21" s="283" t="s">
        <v>188</v>
      </c>
      <c r="B21" s="283"/>
      <c r="C21" s="283"/>
      <c r="D21" s="283"/>
      <c r="E21" s="283"/>
      <c r="F21" s="283"/>
      <c r="G21" s="283"/>
      <c r="H21" s="283"/>
      <c r="I21" s="5"/>
      <c r="J21" s="283" t="s">
        <v>104</v>
      </c>
      <c r="K21" s="283"/>
      <c r="L21" s="283"/>
      <c r="M21" s="283"/>
      <c r="N21" s="283"/>
      <c r="O21" s="283"/>
      <c r="P21" s="283"/>
      <c r="Q21" s="6"/>
      <c r="R21" s="283" t="s">
        <v>189</v>
      </c>
      <c r="S21" s="283"/>
      <c r="T21" s="283"/>
      <c r="U21" s="283"/>
      <c r="V21" s="283"/>
      <c r="W21" s="283"/>
      <c r="X21" s="283"/>
    </row>
    <row r="23" spans="1:24" ht="38.25" customHeight="1">
      <c r="P23" s="280" t="s">
        <v>190</v>
      </c>
      <c r="Q23" s="280"/>
      <c r="R23" s="280"/>
      <c r="S23" s="280"/>
      <c r="T23" s="280"/>
      <c r="U23" s="281" t="s">
        <v>191</v>
      </c>
      <c r="V23" s="281"/>
      <c r="W23" s="281"/>
      <c r="X23" s="281"/>
    </row>
    <row r="24" spans="1:24" ht="38.25" customHeight="1">
      <c r="P24" s="280" t="s">
        <v>192</v>
      </c>
      <c r="Q24" s="280"/>
      <c r="R24" s="280"/>
      <c r="S24" s="280"/>
      <c r="T24" s="280"/>
      <c r="U24" s="282" t="s">
        <v>193</v>
      </c>
      <c r="V24" s="282"/>
      <c r="W24" s="282"/>
      <c r="X24" s="282"/>
    </row>
  </sheetData>
  <mergeCells count="40">
    <mergeCell ref="P23:T23"/>
    <mergeCell ref="U23:X23"/>
    <mergeCell ref="P24:T24"/>
    <mergeCell ref="U24:X24"/>
    <mergeCell ref="A21:H21"/>
    <mergeCell ref="J21:P21"/>
    <mergeCell ref="R21:X2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A8:I8"/>
    <mergeCell ref="J8:O8"/>
    <mergeCell ref="P8:X8"/>
    <mergeCell ref="A10:X10"/>
    <mergeCell ref="A11:F11"/>
    <mergeCell ref="G11:L11"/>
    <mergeCell ref="M11:R11"/>
    <mergeCell ref="S11:X11"/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Props1.xml><?xml version="1.0" encoding="utf-8"?>
<ds:datastoreItem xmlns:ds="http://schemas.openxmlformats.org/officeDocument/2006/customXml" ds:itemID="{2E0DC6A2-D4C3-4E6B-B67E-9AED22EC483E}"/>
</file>

<file path=customXml/itemProps2.xml><?xml version="1.0" encoding="utf-8"?>
<ds:datastoreItem xmlns:ds="http://schemas.openxmlformats.org/officeDocument/2006/customXml" ds:itemID="{2FFAC935-8881-451D-93ED-25958414B4DF}"/>
</file>

<file path=customXml/itemProps3.xml><?xml version="1.0" encoding="utf-8"?>
<ds:datastoreItem xmlns:ds="http://schemas.openxmlformats.org/officeDocument/2006/customXml" ds:itemID="{AAD99F47-C05E-4B8B-A445-C498A79844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Microsoft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/>
  <cp:revision/>
  <dcterms:created xsi:type="dcterms:W3CDTF">2012-05-30T19:45:02Z</dcterms:created>
  <dcterms:modified xsi:type="dcterms:W3CDTF">2026-07-13T20:05:18Z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