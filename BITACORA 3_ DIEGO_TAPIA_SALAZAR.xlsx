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d.docs.live.net/c3d00bcd4006f853/Desktop/DUKITO DOC/SENA_PR/"/>
    </mc:Choice>
  </mc:AlternateContent>
  <xr:revisionPtr revIDLastSave="44" documentId="8_{8E818715-0928-484B-A41A-0DCEADF6C08C}" xr6:coauthVersionLast="47" xr6:coauthVersionMax="47" xr10:uidLastSave="{86BDED3C-DCE0-44DA-8907-A9685C1FB9AB}"/>
  <bookViews>
    <workbookView xWindow="-108" yWindow="-108" windowWidth="23256" windowHeight="12456" xr2:uid="{00000000-000D-0000-FFFF-FFFF00000000}"/>
  </bookViews>
  <sheets>
    <sheet name="Bitacora" sheetId="6" r:id="rId1"/>
    <sheet name="BD_SENA" sheetId="9" state="hidden" r:id="rId2"/>
    <sheet name="Hoja1" sheetId="7" state="hidden" r:id="rId3"/>
    <sheet name="Instructivo" sheetId="4" state="hidden" r:id="rId4"/>
  </sheets>
  <externalReferences>
    <externalReference r:id="rId5"/>
  </externalReferences>
  <definedNames>
    <definedName name="_xlnm.Print_Area" localSheetId="0">Bitacora!$A$1:$I$82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9" l="1" a="1"/>
  <c r="F2" i="9" s="1"/>
  <c r="K2" i="9" a="1"/>
  <c r="K2" i="9" s="1"/>
  <c r="J2" i="9" a="1"/>
  <c r="J2" i="9" s="1"/>
  <c r="I2" i="9" a="1"/>
  <c r="I2" i="9" s="1"/>
  <c r="H2" i="9" a="1"/>
  <c r="H2" i="9" s="1"/>
  <c r="G2" i="9" a="1"/>
  <c r="G2" i="9" s="1"/>
  <c r="E2" i="9" a="1"/>
  <c r="E2"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<sst xmlns="http://schemas.openxmlformats.org/spreadsheetml/2006/main" count="267" uniqueCount="195">
  <si>
    <t>Código: 
GFPI-F-147</t>
  </si>
  <si>
    <t>Versión: 05</t>
  </si>
  <si>
    <t>PROCESO</t>
  </si>
  <si>
    <t>GESTIÓN DE FORMACIÓN PROFESIONAL INTEGRAL</t>
  </si>
  <si>
    <t xml:space="preserve">NOMBRE DEL FORMATO </t>
  </si>
  <si>
    <t>FORMATO BITÁCORA DE SEGUIMIENTO ETAPA PRODUCTIVA</t>
  </si>
  <si>
    <t>CLASIFICACIÓN DE LA INFORMACIÓN</t>
  </si>
  <si>
    <t>Pública</t>
  </si>
  <si>
    <t>Pública Clasificada</t>
  </si>
  <si>
    <t>Pública Reservada</t>
  </si>
  <si>
    <t>Bitácora N°</t>
  </si>
  <si>
    <t>Período a reportar</t>
  </si>
  <si>
    <t>12/06/2026 hasta 12/07/2026</t>
  </si>
  <si>
    <t>Datos del aprendiz</t>
  </si>
  <si>
    <t>Nombre completo del aprendiz</t>
  </si>
  <si>
    <t>Tipo de documento</t>
  </si>
  <si>
    <t>Número de identificación</t>
  </si>
  <si>
    <t>Contacto telefónico</t>
  </si>
  <si>
    <t>Diego Alfonso Tapia Salazar</t>
  </si>
  <si>
    <t>Cedula de ciudadania</t>
  </si>
  <si>
    <t>Correo electrónico institucional</t>
  </si>
  <si>
    <t>Correo electrónico personal</t>
  </si>
  <si>
    <t>Dirección de residencia</t>
  </si>
  <si>
    <t>diegoa_tapias@soy.sena.edu.co</t>
  </si>
  <si>
    <t>diegotapia.s@hotmail.com</t>
  </si>
  <si>
    <t>Cra 80 D #7B 83 Torre 2 Apto 604</t>
  </si>
  <si>
    <t>Número de grupo</t>
  </si>
  <si>
    <t xml:space="preserve">Modalidad de formación </t>
  </si>
  <si>
    <t>Programa de formación</t>
  </si>
  <si>
    <t>Tecnólogo</t>
  </si>
  <si>
    <t>Análisis y Desarrollo de Software</t>
  </si>
  <si>
    <t>Modalidad de ejecución de la etapa productiva (presencial o virtual)</t>
  </si>
  <si>
    <t>¿Realiza la etapa productiva  con una entidad u organización en el  exterior? (si o no)</t>
  </si>
  <si>
    <t>País donde realiza la etapa productiva</t>
  </si>
  <si>
    <t>Presencial</t>
  </si>
  <si>
    <t>No</t>
  </si>
  <si>
    <t>Colombia</t>
  </si>
  <si>
    <t>Datos del  ente co-formador</t>
  </si>
  <si>
    <t>Nombre de la entidad, empresa, institución u organización donde está realizando la etapa productiva</t>
  </si>
  <si>
    <t>NIT</t>
  </si>
  <si>
    <t xml:space="preserve">Dirección de la entidad, empresa, institución u organización </t>
  </si>
  <si>
    <t>Servicio Nacional de Aprendizaje - SENA</t>
  </si>
  <si>
    <t>899.999.034-01</t>
  </si>
  <si>
    <t>Carrera 13 # 65 - 10 Centro de Servicios Financieros</t>
  </si>
  <si>
    <t>Datos de la persona encargada del proceso formativo del aprendiz en la entidad co-formadora</t>
  </si>
  <si>
    <t>Nombre completo del ente co-formador (Jefe inmediato/Supervisor)</t>
  </si>
  <si>
    <t xml:space="preserve">Cargo del ente co-formador </t>
  </si>
  <si>
    <t>Contacto telefónico del ente co-formador</t>
  </si>
  <si>
    <t>Correo electrónico del ente co-formador</t>
  </si>
  <si>
    <t>John Fernando Mendez Medina</t>
  </si>
  <si>
    <t>Instructor acompañamiento etapa productiva</t>
  </si>
  <si>
    <t>jfmendez@sena.edu.co</t>
  </si>
  <si>
    <t>Datos del instructor de seguimiento</t>
  </si>
  <si>
    <t>Nombre completo del instructor de seguimiento</t>
  </si>
  <si>
    <t>Correo electrónico del instructor de seguimiento</t>
  </si>
  <si>
    <t>SERGIO ANDRES TORRES MARTINEZ</t>
  </si>
  <si>
    <t>satorres@sena.edu.co   /    storres@timespanish.com</t>
  </si>
  <si>
    <t>Seleccione con una "X" la alternativa de etapa productiva que está realizando</t>
  </si>
  <si>
    <t>Alternativa de etapa productiva</t>
  </si>
  <si>
    <t xml:space="preserve">Marque con una X	</t>
  </si>
  <si>
    <t xml:space="preserve">Marquen con una X	</t>
  </si>
  <si>
    <t>Contrato de aprendizaje</t>
  </si>
  <si>
    <t>Monitoria</t>
  </si>
  <si>
    <t>Proyecto productivo</t>
  </si>
  <si>
    <t>X</t>
  </si>
  <si>
    <t>Contrato de vínculo formativo</t>
  </si>
  <si>
    <t>Vínculo laboral</t>
  </si>
  <si>
    <t xml:space="preserve">Descripción de las actividades realizadas </t>
  </si>
  <si>
    <r>
      <rPr>
        <b/>
        <sz val="11"/>
        <color rgb="FFFFFFFF"/>
        <rFont val="Calibri"/>
        <family val="2"/>
      </rPr>
      <t xml:space="preserve">Descripción de la actividad
</t>
    </r>
    <r>
      <rPr>
        <b/>
        <i/>
        <sz val="11"/>
        <color rgb="FFFFFFFF"/>
        <rFont val="Calibri"/>
        <family val="2"/>
      </rPr>
      <t>(Ingrese cuantas filas sean necesarias)</t>
    </r>
  </si>
  <si>
    <t>Competencias del programa de formación aplicadas en el desarrollo de la actividad</t>
  </si>
  <si>
    <t>Fecha de inicio
(dd/mm/aa)</t>
  </si>
  <si>
    <t>Fecha de fin
(dd/mm/aa)</t>
  </si>
  <si>
    <r>
      <rPr>
        <b/>
        <sz val="11"/>
        <color rgb="FFFFFFFF"/>
        <rFont val="Calibri"/>
        <family val="2"/>
      </rPr>
      <t>Evidencia de cumplimiento 
(</t>
    </r>
    <r>
      <rPr>
        <b/>
        <i/>
        <sz val="11"/>
        <color rgb="FFFFFFFF"/>
        <rFont val="Calibri"/>
        <family val="2"/>
      </rPr>
      <t>Indique si corresponde a un documento, proceso, producto, entregable u otro</t>
    </r>
    <r>
      <rPr>
        <b/>
        <sz val="11"/>
        <color rgb="FFFFFFFF"/>
        <rFont val="Calibri"/>
        <family val="2"/>
      </rPr>
      <t>) 
En anexo puede fortalecer la evidencia si es el caso.</t>
    </r>
  </si>
  <si>
    <t>Observaciones, inasistencias, dificultades presentadas, y/o comentarios realizados por el aprendiz y/o jefe inmediato</t>
  </si>
  <si>
    <t>38392 - Establecer requisitos de la solución de software de acuerdo con estándares y procedimiento técnico</t>
  </si>
  <si>
    <t>38368 - Desarrollar la solución de software de acuerdo con el diseño y metodologías de desarrollo</t>
  </si>
  <si>
    <t>38362 - Diseñar la solución de software de acuerdo con procedimientos y requisitos técnicos</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</si>
  <si>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</si>
  <si>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</si>
  <si>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</si>
  <si>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</si>
  <si>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</si>
  <si>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aprendiz se encuentra afiliado a la ARL?</t>
  </si>
  <si>
    <t>Indique el nivel de riesgo actual</t>
  </si>
  <si>
    <t>¿El nivel de riesgo de la ARL corresponde a las actividades que desarrolla el  aprendiz en la empresa?</t>
  </si>
  <si>
    <t>Si</t>
  </si>
  <si>
    <t>¿El aprendiz cuenta con los elementos de protección personal (EPP), requeridos para desarrollar su etapa productiva?</t>
  </si>
  <si>
    <t>SI</t>
  </si>
  <si>
    <r>
      <rPr>
        <b/>
        <i/>
        <sz val="11"/>
        <color rgb="FF000000"/>
        <rFont val="Calibri"/>
        <family val="2"/>
      </rPr>
      <t xml:space="preserve">Aprendiz: </t>
    </r>
    <r>
      <rPr>
        <i/>
        <sz val="11"/>
        <color rgb="FF000000"/>
        <rFont val="Calibri"/>
        <family val="2"/>
      </rPr>
      <t>recuerde diligenciar completamente el formato de bitácora y entregarlo o cargarlo al espacio asignado para este</t>
    </r>
  </si>
  <si>
    <t>Firma del aprendiz</t>
  </si>
  <si>
    <t>Fecha entrega bitácora</t>
  </si>
  <si>
    <t>Firma del instructor de seguimiento</t>
  </si>
  <si>
    <t>Firma del ente co-formador</t>
  </si>
  <si>
    <r>
      <rPr>
        <b/>
        <sz val="11"/>
        <color rgb="FF000000"/>
        <rFont val="Calibri"/>
        <family val="2"/>
      </rPr>
      <t>Nota:</t>
    </r>
    <r>
      <rPr>
        <sz val="11"/>
        <color rgb="FF000000"/>
        <rFont val="Calibri"/>
        <family val="2"/>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</si>
  <si>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</si>
  <si>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</si>
  <si>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PROGRAMA</t>
  </si>
  <si>
    <t>COMPETENCIA</t>
  </si>
  <si>
    <t>RESULTADO DE APRENDIZAJE (RAP)</t>
  </si>
  <si>
    <t>593346 - 01 CARACTERIZAR LOS PROCESOS DE LA ORGANIZACIÓN DE ACUERDO CON EL SOFTWARE A CONSTRUIR</t>
  </si>
  <si>
    <t>593345 - 04 VALIDAR EL INFORME DE REQUISITOS DE ACUERDO CON LAS NECESIDADES DEL CLIENTE</t>
  </si>
  <si>
    <t>593344 - 02 RECOLECTAR INFORMACIÓN DEL SOFTWARE A CONSTRUIR DE ACUERDO CON LAS NECESIDADES DEL CLIENTE</t>
  </si>
  <si>
    <t>38392 - 03 ESTABLECER LOS REQUISITOS DEL SOFTWARE DE ACUERDO CON LA INFORMACIÓN RECOLECTADA</t>
  </si>
  <si>
    <t>38376 - Evaluar requisitos de la solución de software de acuerdo con metodologías de análisis y estándares</t>
  </si>
  <si>
    <t>592375 - 01 PLANEAR ACTIVIDADES DE ANÁLISIS DE ACUERDO CON LA METODOLOGÍA SELECCIONADA</t>
  </si>
  <si>
    <t>592374 - 04 VERIFICAR LOS MODELOS REALIZADOS EN LA FASE DE ANÁLISIS DE ACUERDO CON LO ESTABLECIDO EN EL INFORME DE REQUISITOS</t>
  </si>
  <si>
    <t>592376 - 03 DESARROLLAR PROCESOS LÓGICOS A TRAVÉS DE LA IMPLEMENTACIÓN DE ALGORITMOS</t>
  </si>
  <si>
    <t>592373 - 02 MODELAR LAS FUNCIONES DEL SOFTWARE DE ACUERDO CON EL INFORME DE REQUISITOS</t>
  </si>
  <si>
    <t>593101 - 02 ESTRUCTURAR EL MODELO DE DATOS DEL SOFTWARE DE ACUERDO CON LAS ESPECIFICACIONES DEL ANÁLISIS</t>
  </si>
  <si>
    <t>593103 - 01 ELABORAR LOS ARTEFACTOS DE DISEÑO DEL SOFTWARE SIGUIENDO LAS PRÁCTICAS DE LA METODOLOGÍA SELECCIONADA</t>
  </si>
  <si>
    <t>593102 - 04 VERIFICAR LOS ENTREGABLES DE LA FASE DE DISEÑO DEL SOFTWARE DE ACUERDO CON LO ESTABLECIDO EN EL INFORME DE ANÁLISIS</t>
  </si>
  <si>
    <t>593100 - 03 DETERMINAR LAS CARACTERÍSTICAS TÉCNICAS DE LA INTERFAZ GRÁFICA DEL SOFTWARE ADOPTANDO ESTÁNDARES</t>
  </si>
  <si>
    <t>593107 - 02 CONSTRUIR LA BASE DE DATOS PARA EL SOFTWARE A PARTIR DEL MODELO DE DATOS</t>
  </si>
  <si>
    <t>593106 - 01 PLANEAR ACTIVIDADES DE CONSTRUCCIÓN DEL SOFTWARE DE ACUERDO CON EL DISEÑO ESTABLECIDO</t>
  </si>
  <si>
    <t>593104 - 03 CREAR COMPONENTES FRONT-END DEL SOFTWARE DE ACUERDO CON EL DISEÑO</t>
  </si>
  <si>
    <t>593108 - 04 CODIFICAR EL SOFTWARE DE ACUERDO CON EL DISEÑO ESTABLECIDO</t>
  </si>
  <si>
    <t>593105 - 05 REALIZAR PRUEBAS AL SOFTWARE PARA VERIFICAR SU FUNCIONALIDAD</t>
  </si>
  <si>
    <t>38369 - Controlar la calidad del servicio de software de acuerdo con los estándares técnicos</t>
  </si>
  <si>
    <t>593146 - 01 INCORPORAR ACTIVIDADES DE ASEGURAMIENTO DE LA CALIDAD DEL SOFTWARE DE ACUERDO CON ESTÁNDARES DE LA INDUSTRIA</t>
  </si>
  <si>
    <t>593144 - 02 VERIFICAR LA CALIDAD DEL SOFTWARE DE ACUERDO CON LAS PRÁCTICAS ASOCIADAS EN LOS PROCESOS DE DESARROLLO</t>
  </si>
  <si>
    <t>593145 - 03 REALIZAR ACTIVIDADES DE MEJORA DE LA CALIDAD DEL SOFTWARE A PARTIR DE LOS RESULTADOS DE LA VERIFICACIÓN</t>
  </si>
  <si>
    <t>38367 - Estructurar propuesta técnica de servicio de tecnología de la información según requisitos técnicos y normativa</t>
  </si>
  <si>
    <t>593060 - 01 DEFINIR ESPECIFICACIONES TÉCNICAS DEL SOFTWARE DE ACUERDO CON LAS CARACTERÍSTICAS DEL SOFTWARE A CONSTRUIR</t>
  </si>
  <si>
    <t>593062 - 02 ELABORAR PROPUESTA TÉCNICA DEL SOFTWARE DE ACUERDO CON LAS ESPECIFICACIONES TÉCNICAS DEFINIDAS</t>
  </si>
  <si>
    <t>38356 - Implementar la solución de software de acuerdo con los requisitos de operación y modelos de referencia</t>
  </si>
  <si>
    <t>593111 - 01 PLANEAR ACTIVIDADES DE IMPLANTACIÓN DEL SOFTWARE DE ACUERDO CON LAS CONDICIONES DEL SISTEMA</t>
  </si>
  <si>
    <t>593109 - 03 DOCUMENTAR EL PROCESO DE IMPLANTACIÓN DE SOFTWARE SIGUIENDO ESTÁNDARES DE CALIDAD</t>
  </si>
  <si>
    <t>593112 - 04 IMPLANTAR EL SOFTWARE DE ACUERDO CON LOS NIVELES DE SERVICIO ESTABLECIDOS CON EL CLIENTE</t>
  </si>
  <si>
    <t>593110 - 02 DESPLEGAR EL SOFTWARE DE ACUERDO CON LA ARQUITECTURA Y LAS POLÍTICAS ESTABLECIDAS</t>
  </si>
  <si>
    <t>Programación de Software</t>
  </si>
  <si>
    <t>220501095 - Construir el sistema de información de acuerdo con el diseño y estándares técnicos</t>
  </si>
  <si>
    <t>220501095-01 Codificar los módulos del software de acuerdo con el diseño y estándares técnicos</t>
  </si>
  <si>
    <t>220501095-02 Construir la base de datos de acuerdo con el modelo lógico y el motor seleccionado</t>
  </si>
  <si>
    <t>220501095-03 Integrar los componentes del software según la arquitectura definida</t>
  </si>
  <si>
    <t>220501095-04 Realizar las pruebas unitarias a los módulos codificados</t>
  </si>
  <si>
    <t>220501096 - Verificar la calidad del software de acuerdo con el plan de pruebas y estándares</t>
  </si>
  <si>
    <t>220501096-01 Ejecutar las pruebas de software de acuerdo con el plan establecido</t>
  </si>
  <si>
    <t>220501096-02 Reportar los defectos encontrados durante la ejecución de las pruebas</t>
  </si>
  <si>
    <t>220501096-03 Ajustar los entregables de software según los resultados de las pruebas</t>
  </si>
  <si>
    <t>220501097 - Desplegar la solución de software de acuerdo con los requisitos de operación y modelos de referencia</t>
  </si>
  <si>
    <t>220501097-01 Elaborar el plan de despliegue de la solución de software</t>
  </si>
  <si>
    <t>220501097-02 Realizar la instalación y configuración del software en el entorno productivo</t>
  </si>
  <si>
    <t>220501101 - Probar el software desarrollado de acuerdo con el plan de pruebas y especificaciones del cliente</t>
  </si>
  <si>
    <t>220501101-01 Validar el cumplimiento de los requisitos del software</t>
  </si>
  <si>
    <t>220501101-02 Documentar los errores y sugerencias de mejora según protocolos</t>
  </si>
  <si>
    <t>37371 - Utilizar herramientas informáticas de acuerdo con las necesidades de manejo de información</t>
  </si>
  <si>
    <t>593154 - 01 ALISTAR HERRAMIENTAS DE TECNOLOGÍAS DE LA INFORMACIÓN Y LA COMUNICACIÓN (TIC), DE ACUERDO CON LAS NECESIDADES DE PROCESAMIENTO DE INFORMACIÓN Y COMUNICACIÓN</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</si>
  <si>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</si>
  <si>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</si>
  <si>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</si>
  <si>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</si>
  <si>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</si>
  <si>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</si>
  <si>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</si>
  <si>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</si>
  <si>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</si>
  <si>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</si>
  <si>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</si>
  <si>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</si>
  <si>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</si>
  <si>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</si>
  <si>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</si>
  <si>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</si>
  <si>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</si>
  <si>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</si>
  <si>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</si>
  <si>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</si>
  <si>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</si>
  <si>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</si>
  <si>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</si>
  <si>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</si>
  <si>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</si>
  <si>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</si>
  <si>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</si>
  <si>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</si>
  <si>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</si>
  <si>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</si>
  <si>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</si>
  <si>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</si>
  <si>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Finalización del Estudio de Mercado (estrategias de promoción, comunicación, servicio y presupuesto de marketing). En el prototipo, se implementó el enrutamiento dinámico en React Router para restringir páginas privadas e inicio del diseño visual de la interfaz del Simulador de Entrevistas.</t>
  </si>
  <si>
    <t>Documento Proyecto Talent Lab: Estudio de Mercado 
Planeación Stack del prototipo</t>
  </si>
  <si>
    <t>Se estructuró la estrategia comercial de TalentLab con un presupuesto de mercadeo de COP $7,340,000 para el Año 1. En el desarrollo técnico, se y estructuró y validó el paso de rutas protegidas del frontend en React y el diseño visual responsive fue completado de forma satisfactoria, sin demoras.</t>
  </si>
  <si>
    <t>Desarrollo del Estudio Técnico, definiendo el alcance del MVP (módulos de semáforo e IA) y la Ficha Técnica del software. En el prototipo, se codificaron los endpoints de autenticación y registro en FastAPI y se configuró la conexión inicial a PostgreSQL (Supabase) con políticas RLS.</t>
  </si>
  <si>
    <t>Documento Proyecto Talent Lab: 
Estudio Técnico 
Planeación Stack del prototipo</t>
  </si>
  <si>
    <t>Se unificó la ficha técnica determinando versiones de software (React 18.2, FastAPI 0.100). En el prototipo, se superó el bloqueo de conexión mediante la correcta configuración de variables de entorno y se validó el registro de usuarios de prueba en la base de datos de Supabase.</t>
  </si>
  <si>
    <t>Redacción del Proceso de Producción del software, estimación de tiempos operativos y diseño del diagrama de flujo. En el prototipo, se implementó la lógica en Python (FastAPI) para el procesamiento de alertas del semáforo predictivo y se diseñó el dashboard en React para la visualización docente.</t>
  </si>
  <si>
    <t>Documento Proyecto Talent Lab: Estudio Técnico - Descripción del proceso</t>
  </si>
  <si>
    <t>Se estructuró el flujograma de procesos en Mermaid.js definiendo tiempos de soporte (SLA). En el prototipo, se realizaron pruebas de consumo del endpoint del semáforo, logrando mostrar alertas de riesgo estudiantil (semáforo verde/amarillo/rojo) en la interfaz gráfica local.</t>
  </si>
  <si>
    <t>Determinación de la ubicación de la oficina en Chapinero, cumplimiento del POT y cuantificación de requerimientos de mobiliario, hardware e insumos cloud. En el prototipo, se integró el motor de Inteligencia Artificial (API de OpenAI) en el backend de FastAPI para procesar el análisis de entrevistas.</t>
  </si>
  <si>
    <t>Documento Proyecto Talent Lab: Estudio Técnico - Localización del proyecto y requerimientos</t>
  </si>
  <si>
    <t>Se definieron costos de inversión física (COP $14,350,000 en equipos y muebles) e insumos cloud. En el prototipo, se realizaron pruebas con la API de OpenAI, logrando obtener análisis semánticos correctos de las entrevistas simuladas, con tiempos de respuesta bajo.</t>
  </si>
  <si>
    <t>Elaboración del Estudio Organizacional, definiendo Misión, Visión y la Matriz DOFA cruzada de los 9 cuadrantes. En el prototipo, se configuraron políticas de seguridad CORS, optimización de caché en React y pruebas de integración completas entre el cliente y el servidor backend.</t>
  </si>
  <si>
    <t>Documento Proyecto Talent Lab: Estudio organizacional - Mision, Vision y Análisis DOFA</t>
  </si>
  <si>
    <t>Se estructuraron las estrategias cruzadas (FO, DO, FA, DA)  para la presentación institucional. En el prototipo, las pruebas de integración local fueron exitosas, confirmando que la base de datos Supabase aísla de forma segura la información de cada institución educativa.</t>
  </si>
  <si>
    <t>38363 - Diseñar la solución de software de acuerdo con procedimientos y requisitos técnicos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</si>
</sst>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b/>
      <sz val="11"/>
      <color theme="0" tint="-0.34998626667073579"/>
      <name val="Calibri"/>
      <family val="2"/>
    </font>
    <font>
      <b/>
      <sz val="11"/>
      <color rgb="FF000000"/>
      <name val="Calibri"/>
      <family val="2"/>
      <scheme val="minor"/>
    </font>
    <font>
      <b/>
      <sz val="14"/>
      <color theme="0"/>
      <name val="Calibri"/>
      <family val="2"/>
    </font>
    <font>
      <b/>
      <sz val="14"/>
      <name val="Calibri"/>
      <family val="2"/>
    </font>
    <font>
      <b/>
      <sz val="12"/>
      <name val="Calibri"/>
      <family val="2"/>
    </font>
    <font>
      <b/>
      <sz val="11"/>
      <color rgb="FFFFFFFF"/>
      <name val="Calibri"/>
      <family val="2"/>
    </font>
    <font>
      <b/>
      <i/>
      <sz val="11"/>
      <color rgb="FFFFFFFF"/>
      <name val="Calibri"/>
      <family val="2"/>
    </font>
    <font>
      <b/>
      <sz val="11"/>
      <color rgb="FF000000"/>
      <name val="Calibri"/>
      <family val="2"/>
    </font>
    <font>
      <b/>
      <sz val="11"/>
      <color theme="1" tint="0.34998626667073579"/>
      <name val="Calibri"/>
      <family val="2"/>
    </font>
    <font>
      <sz val="11"/>
      <color rgb="FF000000"/>
      <name val="Calibri"/>
      <family val="2"/>
    </font>
    <font>
      <sz val="11"/>
      <name val="Calibri"/>
      <family val="2"/>
    </font>
    <font>
      <sz val="10"/>
      <color rgb="FF000000"/>
      <name val="Calibri"/>
      <family val="2"/>
    </font>
    <font>
      <b/>
      <i/>
      <sz val="11"/>
      <color rgb="FF000000"/>
      <name val="Calibri"/>
      <family val="2"/>
    </font>
    <font>
      <i/>
      <sz val="11"/>
      <color rgb="FF000000"/>
      <name val="Calibri"/>
      <family val="2"/>
    </font>
    <font>
      <sz val="11"/>
      <color rgb="FF0070C0"/>
      <name val="Aptos Narrow"/>
      <family val="2"/>
    </font>
    <font>
      <b/>
      <sz val="11"/>
      <color theme="1"/>
      <name val="Calibri"/>
      <family val="2"/>
    </font>
    <font>
      <sz val="11"/>
      <color theme="1"/>
      <name val="Calibri"/>
      <family val="2"/>
    </font>
    <font>
      <b/>
      <sz val="10"/>
      <color theme="1"/>
      <name val="Calibri"/>
      <family val="2"/>
    </font>
    <font>
      <sz val="10"/>
      <color theme="1"/>
      <name val="Arial"/>
      <family val="2"/>
    </font>
    <font>
      <u/>
      <sz val="11"/>
      <color theme="10"/>
      <name val="Calibri"/>
      <family val="2"/>
      <scheme val="minor"/>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12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indexed="64"/>
      </top>
      <bottom/>
      <diagonal/>
    </border>
    <border>
      <left style="medium">
        <color rgb="FF000000"/>
      </left>
      <right/>
      <top style="thin">
        <color rgb="FF000000"/>
      </top>
      <bottom/>
      <diagonal/>
    </border>
    <border>
      <left style="medium">
        <color rgb="FF000000"/>
      </left>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top style="medium">
        <color rgb="FF000000"/>
      </top>
      <bottom style="thin">
        <color rgb="FF000000"/>
      </bottom>
      <diagonal/>
    </border>
    <border>
      <left/>
      <right/>
      <top style="thin">
        <color rgb="FF000000"/>
      </top>
      <bottom style="medium">
        <color rgb="FF000000"/>
      </bottom>
      <diagonal/>
    </border>
    <border>
      <left style="thin">
        <color indexed="64"/>
      </left>
      <right style="thin">
        <color indexed="64"/>
      </right>
      <top style="medium">
        <color rgb="FF000000"/>
      </top>
      <bottom/>
      <diagonal/>
    </border>
    <border>
      <left style="medium">
        <color indexed="64"/>
      </left>
      <right/>
      <top style="medium">
        <color rgb="FF000000"/>
      </top>
      <bottom/>
      <diagonal/>
    </border>
    <border>
      <left style="medium">
        <color indexed="64"/>
      </left>
      <right style="medium">
        <color rgb="FF000000"/>
      </right>
      <top style="medium">
        <color rgb="FF000000"/>
      </top>
      <bottom/>
      <diagonal/>
    </border>
    <border>
      <left style="medium">
        <color rgb="FF000000"/>
      </left>
      <right/>
      <top style="medium">
        <color rgb="FF000000"/>
      </top>
      <bottom style="thin">
        <color indexed="64"/>
      </bottom>
      <diagonal/>
    </border>
    <border>
      <left style="medium">
        <color indexed="64"/>
      </left>
      <right/>
      <top style="medium">
        <color rgb="FF000000"/>
      </top>
      <bottom style="thin">
        <color indexed="64"/>
      </bottom>
      <diagonal/>
    </border>
    <border>
      <left style="medium">
        <color rgb="FF000000"/>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medium">
        <color rgb="FF000000"/>
      </top>
      <bottom/>
      <diagonal/>
    </border>
    <border>
      <left/>
      <right style="thin">
        <color indexed="64"/>
      </right>
      <top style="medium">
        <color rgb="FF000000"/>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right style="medium">
        <color rgb="FF000000"/>
      </right>
      <top style="thin">
        <color rgb="FF000000"/>
      </top>
      <bottom style="medium">
        <color rgb="FF000000"/>
      </bottom>
      <diagonal/>
    </border>
    <border>
      <left style="medium">
        <color indexed="64"/>
      </left>
      <right style="medium">
        <color rgb="FF000000"/>
      </right>
      <top style="medium">
        <color rgb="FF000000"/>
      </top>
      <bottom style="thin">
        <color indexed="64"/>
      </bottom>
      <diagonal/>
    </border>
    <border>
      <left style="medium">
        <color rgb="FF000000"/>
      </left>
      <right/>
      <top style="thin">
        <color indexed="64"/>
      </top>
      <bottom style="thin">
        <color indexed="64"/>
      </bottom>
      <diagonal/>
    </border>
    <border>
      <left style="medium">
        <color indexed="64"/>
      </left>
      <right style="medium">
        <color rgb="FF000000"/>
      </right>
      <top style="thin">
        <color indexed="64"/>
      </top>
      <bottom style="thin">
        <color indexed="64"/>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top style="medium">
        <color rgb="FFCCCCCC"/>
      </top>
      <bottom style="medium">
        <color rgb="FFCCCCCC"/>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rgb="FF000000"/>
      </right>
      <top style="medium">
        <color rgb="FF000000"/>
      </top>
      <bottom/>
      <diagonal/>
    </border>
    <border>
      <left style="thin">
        <color indexed="64"/>
      </left>
      <right style="medium">
        <color rgb="FF000000"/>
      </right>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rgb="FF000000"/>
      </left>
      <right/>
      <top/>
      <bottom style="thin">
        <color indexed="64"/>
      </bottom>
      <diagonal/>
    </border>
    <border>
      <left style="thin">
        <color indexed="64"/>
      </left>
      <right style="medium">
        <color rgb="FF000000"/>
      </right>
      <top/>
      <bottom style="thin">
        <color indexed="64"/>
      </bottom>
      <diagonal/>
    </border>
    <border>
      <left style="medium">
        <color rgb="FF000000"/>
      </left>
      <right/>
      <top/>
      <bottom style="thin">
        <color rgb="FF000000"/>
      </bottom>
      <diagonal/>
    </border>
    <border>
      <left/>
      <right style="thin">
        <color rgb="FF000000"/>
      </right>
      <top/>
      <bottom style="thin">
        <color rgb="FF000000"/>
      </bottom>
      <diagonal/>
    </border>
    <border>
      <left/>
      <right style="thin">
        <color indexed="64"/>
      </right>
      <top/>
      <bottom style="thin">
        <color rgb="FF000000"/>
      </bottom>
      <diagonal/>
    </border>
    <border>
      <left style="thin">
        <color indexed="64"/>
      </left>
      <right/>
      <top/>
      <bottom style="thin">
        <color rgb="FF000000"/>
      </bottom>
      <diagonal/>
    </border>
  </borders>
  <cellStyleXfs count="2">
    <xf numFmtId="0" fontId="0" fillId="0" borderId="0"/>
    <xf numFmtId="0" fontId="36" fillId="0" borderId="0" applyNumberFormat="0" applyFill="0" applyBorder="0" applyAlignment="0" applyProtection="0"/>
  </cellStyleXfs>
  <cellXfs count="318">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9" fillId="0" borderId="0" xfId="0" applyFont="1" applyAlignment="1">
      <alignment wrapText="1"/>
    </xf>
    <xf numFmtId="0" fontId="10" fillId="0" borderId="0" xfId="0" applyFont="1" applyAlignment="1">
      <alignment wrapText="1"/>
    </xf>
    <xf numFmtId="0" fontId="9" fillId="0" borderId="0" xfId="0" applyFont="1" applyAlignment="1">
      <alignment vertical="center" wrapText="1"/>
    </xf>
    <xf numFmtId="0" fontId="10" fillId="0" borderId="0" xfId="0" applyFont="1" applyAlignment="1">
      <alignment vertical="center" wrapText="1"/>
    </xf>
    <xf numFmtId="0" fontId="13" fillId="0" borderId="0" xfId="0" applyFont="1" applyAlignment="1">
      <alignment wrapText="1"/>
    </xf>
    <xf numFmtId="0" fontId="12" fillId="0" borderId="0" xfId="0" applyFont="1" applyAlignment="1">
      <alignment wrapText="1"/>
    </xf>
    <xf numFmtId="0" fontId="13" fillId="0" borderId="0" xfId="0" applyFont="1" applyAlignment="1">
      <alignment horizontal="left" vertical="center" wrapText="1"/>
    </xf>
    <xf numFmtId="0" fontId="11" fillId="0" borderId="0" xfId="0" applyFont="1" applyAlignment="1">
      <alignment vertical="center" wrapText="1"/>
    </xf>
    <xf numFmtId="0" fontId="16" fillId="0" borderId="0" xfId="0" applyFont="1" applyAlignment="1">
      <alignment vertical="center" wrapText="1"/>
    </xf>
    <xf numFmtId="0" fontId="14" fillId="0" borderId="0" xfId="0" applyFont="1" applyAlignment="1">
      <alignment vertical="center" wrapText="1"/>
    </xf>
    <xf numFmtId="0" fontId="13" fillId="0" borderId="0" xfId="0" applyFont="1" applyAlignment="1">
      <alignment vertical="center"/>
    </xf>
    <xf numFmtId="0" fontId="12" fillId="0" borderId="0" xfId="0" applyFont="1" applyAlignment="1">
      <alignment vertical="center"/>
    </xf>
    <xf numFmtId="0" fontId="9" fillId="0" borderId="0" xfId="0" applyFont="1" applyAlignment="1">
      <alignment vertical="top" wrapText="1"/>
    </xf>
    <xf numFmtId="0" fontId="9" fillId="0" borderId="0" xfId="0" applyFont="1"/>
    <xf numFmtId="0" fontId="12" fillId="0" borderId="27" xfId="0" applyFont="1" applyBorder="1" applyAlignment="1">
      <alignment vertical="center" wrapText="1"/>
    </xf>
    <xf numFmtId="0" fontId="12" fillId="0" borderId="19" xfId="0" applyFont="1" applyBorder="1" applyAlignment="1">
      <alignment vertical="center" wrapText="1"/>
    </xf>
    <xf numFmtId="0" fontId="13" fillId="0" borderId="32" xfId="0" applyFont="1" applyBorder="1" applyAlignment="1">
      <alignment horizontal="center" vertical="center" wrapText="1"/>
    </xf>
    <xf numFmtId="0" fontId="12" fillId="0" borderId="23" xfId="0" applyFont="1" applyBorder="1" applyAlignment="1">
      <alignment vertical="center" wrapText="1"/>
    </xf>
    <xf numFmtId="0" fontId="13" fillId="0" borderId="34" xfId="0" applyFont="1" applyBorder="1" applyAlignment="1">
      <alignment horizontal="center" vertical="center" wrapText="1"/>
    </xf>
    <xf numFmtId="0" fontId="12" fillId="0" borderId="19" xfId="0" applyFont="1" applyBorder="1" applyAlignment="1">
      <alignment vertical="center"/>
    </xf>
    <xf numFmtId="0" fontId="13" fillId="0" borderId="0" xfId="0" applyFont="1" applyAlignment="1">
      <alignment horizontal="center" vertical="center"/>
    </xf>
    <xf numFmtId="0" fontId="12" fillId="0" borderId="0" xfId="0" applyFont="1" applyAlignment="1">
      <alignment horizontal="center" vertical="center"/>
    </xf>
    <xf numFmtId="0" fontId="15" fillId="0" borderId="0" xfId="0" applyFont="1" applyAlignment="1">
      <alignment horizontal="center" vertical="center"/>
    </xf>
    <xf numFmtId="0" fontId="9" fillId="0" borderId="0" xfId="0" applyFont="1" applyAlignment="1">
      <alignment vertical="center"/>
    </xf>
    <xf numFmtId="0" fontId="9" fillId="0" borderId="42" xfId="0" applyFont="1" applyBorder="1" applyAlignment="1">
      <alignment horizontal="center" vertical="center"/>
    </xf>
    <xf numFmtId="0" fontId="27" fillId="0" borderId="0" xfId="0" applyFont="1" applyAlignment="1">
      <alignment wrapText="1"/>
    </xf>
    <xf numFmtId="0" fontId="10" fillId="0" borderId="0" xfId="0" applyFont="1" applyAlignment="1">
      <alignment horizontal="left" vertical="center"/>
    </xf>
    <xf numFmtId="0" fontId="31" fillId="0" borderId="0" xfId="0" applyFont="1"/>
    <xf numFmtId="0" fontId="11" fillId="7" borderId="52" xfId="0" applyFont="1" applyFill="1" applyBorder="1" applyAlignment="1">
      <alignment horizontal="center" vertical="center" wrapText="1"/>
    </xf>
    <xf numFmtId="0" fontId="24" fillId="5" borderId="0" xfId="0" applyFont="1" applyFill="1" applyAlignment="1">
      <alignment horizontal="center" vertical="center" wrapText="1"/>
    </xf>
    <xf numFmtId="0" fontId="14" fillId="0" borderId="0" xfId="0" applyFont="1" applyAlignment="1">
      <alignment horizontal="left" vertical="center" wrapText="1"/>
    </xf>
    <xf numFmtId="0" fontId="10" fillId="0" borderId="0" xfId="0" applyFont="1" applyAlignment="1">
      <alignment horizontal="left" wrapText="1"/>
    </xf>
    <xf numFmtId="0" fontId="9" fillId="0" borderId="0" xfId="0" applyFont="1" applyAlignment="1">
      <alignment horizontal="left" wrapText="1"/>
    </xf>
    <xf numFmtId="0" fontId="33" fillId="0" borderId="0" xfId="0" applyFont="1" applyAlignment="1">
      <alignment wrapText="1"/>
    </xf>
    <xf numFmtId="0" fontId="12" fillId="0" borderId="90" xfId="0" applyFont="1" applyBorder="1" applyAlignment="1">
      <alignment horizontal="center" vertical="center" wrapText="1"/>
    </xf>
    <xf numFmtId="0" fontId="17" fillId="0" borderId="87" xfId="0" applyFont="1" applyBorder="1" applyAlignment="1">
      <alignment horizontal="center" vertical="center" wrapText="1"/>
    </xf>
    <xf numFmtId="0" fontId="13" fillId="0" borderId="88" xfId="0" applyFont="1" applyBorder="1" applyAlignment="1">
      <alignment vertical="center" wrapText="1"/>
    </xf>
    <xf numFmtId="0" fontId="21" fillId="0" borderId="79" xfId="0" applyFont="1" applyBorder="1" applyAlignment="1">
      <alignment horizontal="right" vertical="center"/>
    </xf>
    <xf numFmtId="0" fontId="34" fillId="0" borderId="40" xfId="0" applyFont="1" applyBorder="1" applyAlignment="1">
      <alignment horizontal="center" vertical="center"/>
    </xf>
    <xf numFmtId="0" fontId="24" fillId="0" borderId="0" xfId="0" applyFont="1" applyAlignment="1">
      <alignment horizontal="left" vertical="center"/>
    </xf>
    <xf numFmtId="15" fontId="32" fillId="0" borderId="18" xfId="0" applyNumberFormat="1" applyFont="1" applyBorder="1" applyAlignment="1">
      <alignment horizontal="center" vertical="center" wrapText="1"/>
    </xf>
    <xf numFmtId="0" fontId="21" fillId="0" borderId="80" xfId="0" applyFont="1" applyBorder="1" applyAlignment="1">
      <alignment vertical="center"/>
      <extLst>
        <ext xmlns:xfpb="http://schemas.microsoft.com/office/spreadsheetml/2022/featurepropertybag" uri="{C7286773-470A-42A8-94C5-96B5CB345126}">
          <xfpb:xfComplement i="0"/>
        </ext>
      </extLst>
    </xf>
    <xf numFmtId="0" fontId="21" fillId="0" borderId="101" xfId="0" applyFont="1" applyBorder="1" applyAlignment="1">
      <alignment vertical="center"/>
      <extLst>
        <ext xmlns:xfpb="http://schemas.microsoft.com/office/spreadsheetml/2022/featurepropertybag" uri="{C7286773-470A-42A8-94C5-96B5CB345126}">
          <xfpb:xfComplement i="0"/>
        </ext>
      </extLst>
    </xf>
    <xf numFmtId="0" fontId="35" fillId="0" borderId="105" xfId="0" applyFont="1" applyBorder="1" applyAlignment="1">
      <alignment horizontal="center" vertical="center" wrapText="1"/>
    </xf>
    <xf numFmtId="0" fontId="35" fillId="0" borderId="106" xfId="0" applyFont="1" applyBorder="1" applyAlignment="1">
      <alignment horizontal="center" vertical="center" wrapText="1"/>
    </xf>
    <xf numFmtId="0" fontId="35" fillId="0" borderId="107" xfId="0" applyFont="1" applyBorder="1" applyAlignment="1">
      <alignment horizontal="center" vertical="center" wrapText="1"/>
    </xf>
    <xf numFmtId="0" fontId="35" fillId="0" borderId="108" xfId="0" applyFont="1" applyBorder="1" applyAlignment="1">
      <alignment horizontal="center" vertical="center" wrapText="1"/>
    </xf>
    <xf numFmtId="0" fontId="35" fillId="0" borderId="109" xfId="0" applyFont="1" applyBorder="1" applyAlignment="1">
      <alignment horizontal="center" vertical="center" wrapText="1"/>
    </xf>
    <xf numFmtId="0" fontId="35" fillId="0" borderId="110" xfId="0" applyFont="1" applyBorder="1" applyAlignment="1">
      <alignment horizontal="center" vertical="center" wrapText="1"/>
    </xf>
    <xf numFmtId="0" fontId="35" fillId="0" borderId="111" xfId="0" applyFont="1" applyBorder="1" applyAlignment="1">
      <alignment horizontal="center" vertical="center" wrapText="1"/>
    </xf>
    <xf numFmtId="0" fontId="35" fillId="0" borderId="113" xfId="0" applyFont="1" applyBorder="1" applyAlignment="1">
      <alignment horizontal="center" vertical="center" wrapText="1"/>
    </xf>
    <xf numFmtId="0" fontId="35" fillId="0" borderId="112" xfId="0" applyFont="1" applyBorder="1" applyAlignment="1">
      <alignment horizontal="center" vertical="center"/>
    </xf>
    <xf numFmtId="0" fontId="12" fillId="0" borderId="0" xfId="0" applyFont="1" applyAlignment="1">
      <alignment horizontal="center" vertical="center" wrapText="1"/>
    </xf>
    <xf numFmtId="0" fontId="15" fillId="0" borderId="0" xfId="0" applyFont="1" applyAlignment="1">
      <alignment horizontal="center" vertical="center" wrapText="1"/>
    </xf>
    <xf numFmtId="0" fontId="26"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21" fillId="0" borderId="81" xfId="0" applyFont="1" applyBorder="1" applyAlignment="1">
      <alignment horizontal="center" vertical="center"/>
    </xf>
    <xf numFmtId="0" fontId="12" fillId="0" borderId="5" xfId="0" applyFont="1" applyBorder="1" applyAlignment="1">
      <alignment horizontal="center" vertical="center" wrapText="1"/>
    </xf>
    <xf numFmtId="0" fontId="12" fillId="0" borderId="0" xfId="0" applyFont="1" applyAlignment="1">
      <alignment vertical="center" wrapText="1"/>
    </xf>
    <xf numFmtId="0" fontId="13" fillId="2" borderId="0" xfId="0" applyFont="1" applyFill="1" applyAlignment="1">
      <alignment horizontal="center" vertical="center" wrapText="1"/>
    </xf>
    <xf numFmtId="0" fontId="13" fillId="2" borderId="36" xfId="0" applyFont="1" applyFill="1" applyBorder="1" applyAlignment="1">
      <alignment horizontal="left" vertical="center" wrapText="1"/>
    </xf>
    <xf numFmtId="0" fontId="13" fillId="2" borderId="0" xfId="0" applyFont="1" applyFill="1" applyAlignment="1">
      <alignment horizontal="left" vertical="center" wrapText="1"/>
    </xf>
    <xf numFmtId="14" fontId="13" fillId="0" borderId="115" xfId="0" applyNumberFormat="1" applyFont="1" applyBorder="1" applyAlignment="1">
      <alignment horizontal="center" vertical="center"/>
    </xf>
    <xf numFmtId="14" fontId="13" fillId="0" borderId="115" xfId="0" applyNumberFormat="1" applyFont="1" applyBorder="1" applyAlignment="1">
      <alignment horizontal="center" vertical="center" wrapText="1"/>
    </xf>
    <xf numFmtId="0" fontId="13" fillId="0" borderId="11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7" xfId="0" applyFont="1" applyBorder="1" applyAlignment="1">
      <alignment horizontal="center" vertical="center" wrapText="1"/>
    </xf>
    <xf numFmtId="0" fontId="11" fillId="3" borderId="27" xfId="0" applyFont="1" applyFill="1" applyBorder="1" applyAlignment="1">
      <alignment horizontal="center" vertical="center"/>
    </xf>
    <xf numFmtId="0" fontId="11" fillId="3" borderId="19" xfId="0" applyFont="1" applyFill="1" applyBorder="1" applyAlignment="1">
      <alignment horizontal="center" vertical="center"/>
    </xf>
    <xf numFmtId="0" fontId="11" fillId="3" borderId="37" xfId="0" applyFont="1" applyFill="1" applyBorder="1" applyAlignment="1">
      <alignment horizontal="center" vertical="center"/>
    </xf>
    <xf numFmtId="0" fontId="16" fillId="7" borderId="33" xfId="0" applyFont="1" applyFill="1" applyBorder="1" applyAlignment="1">
      <alignment horizontal="center" vertical="center"/>
    </xf>
    <xf numFmtId="0" fontId="16" fillId="7" borderId="1" xfId="0" applyFont="1" applyFill="1" applyBorder="1" applyAlignment="1">
      <alignment horizontal="center" vertical="center"/>
    </xf>
    <xf numFmtId="0" fontId="16" fillId="7" borderId="36" xfId="0" applyFont="1" applyFill="1" applyBorder="1" applyAlignment="1">
      <alignment horizontal="center" vertical="center"/>
    </xf>
    <xf numFmtId="0" fontId="12" fillId="0" borderId="19" xfId="0" applyFont="1" applyBorder="1" applyAlignment="1">
      <alignment horizontal="center" vertical="center" wrapText="1"/>
    </xf>
    <xf numFmtId="0" fontId="11" fillId="7" borderId="26" xfId="0" applyFont="1" applyFill="1" applyBorder="1" applyAlignment="1">
      <alignment horizontal="center" vertical="center"/>
    </xf>
    <xf numFmtId="0" fontId="11" fillId="7" borderId="9" xfId="0" applyFont="1" applyFill="1" applyBorder="1" applyAlignment="1">
      <alignment horizontal="center" vertical="center"/>
    </xf>
    <xf numFmtId="0" fontId="11" fillId="7" borderId="29" xfId="0" applyFont="1" applyFill="1" applyBorder="1" applyAlignment="1">
      <alignment horizontal="center" vertical="center"/>
    </xf>
    <xf numFmtId="0" fontId="29" fillId="0" borderId="0" xfId="0" applyFont="1" applyAlignment="1">
      <alignment horizontal="center" vertical="center"/>
    </xf>
    <xf numFmtId="0" fontId="28" fillId="0" borderId="30" xfId="0" applyFont="1" applyBorder="1" applyAlignment="1">
      <alignment horizontal="left" vertical="center" wrapText="1"/>
    </xf>
    <xf numFmtId="0" fontId="28" fillId="0" borderId="2" xfId="0" applyFont="1" applyBorder="1" applyAlignment="1">
      <alignment horizontal="left" vertical="center" wrapText="1"/>
    </xf>
    <xf numFmtId="0" fontId="28" fillId="0" borderId="31" xfId="0" applyFont="1" applyBorder="1" applyAlignment="1">
      <alignment horizontal="left" vertical="center" wrapText="1"/>
    </xf>
    <xf numFmtId="0" fontId="28" fillId="0" borderId="23" xfId="0" applyFont="1" applyBorder="1" applyAlignment="1">
      <alignment horizontal="left" vertical="center" wrapText="1"/>
    </xf>
    <xf numFmtId="0" fontId="28" fillId="0" borderId="0" xfId="0" applyFont="1" applyAlignment="1">
      <alignment horizontal="left" vertical="center" wrapText="1"/>
    </xf>
    <xf numFmtId="0" fontId="28" fillId="0" borderId="21" xfId="0" applyFont="1" applyBorder="1" applyAlignment="1">
      <alignment horizontal="left" vertical="center" wrapText="1"/>
    </xf>
    <xf numFmtId="0" fontId="12" fillId="0" borderId="91" xfId="0" applyFont="1" applyBorder="1" applyAlignment="1">
      <alignment horizontal="center" vertical="center" wrapText="1"/>
    </xf>
    <xf numFmtId="0" fontId="12" fillId="0" borderId="88" xfId="0" applyFont="1" applyBorder="1" applyAlignment="1">
      <alignment horizontal="center" vertical="center" wrapText="1"/>
    </xf>
    <xf numFmtId="0" fontId="28" fillId="0" borderId="23" xfId="0" applyFont="1" applyBorder="1" applyAlignment="1">
      <alignment horizontal="left" vertical="center"/>
    </xf>
    <xf numFmtId="0" fontId="28" fillId="0" borderId="0" xfId="0" applyFont="1" applyAlignment="1">
      <alignment horizontal="left" vertical="center"/>
    </xf>
    <xf numFmtId="0" fontId="28" fillId="0" borderId="21" xfId="0" applyFont="1" applyBorder="1" applyAlignment="1">
      <alignment horizontal="left" vertical="center"/>
    </xf>
    <xf numFmtId="0" fontId="12" fillId="0" borderId="0" xfId="0" applyFont="1" applyAlignment="1">
      <alignment horizontal="center" vertical="center" wrapText="1"/>
    </xf>
    <xf numFmtId="0" fontId="15" fillId="0" borderId="0" xfId="0" applyFont="1" applyAlignment="1">
      <alignment horizontal="center" vertical="center" wrapText="1"/>
    </xf>
    <xf numFmtId="0" fontId="17" fillId="0" borderId="88" xfId="0" applyFont="1" applyBorder="1" applyAlignment="1">
      <alignment horizontal="center" vertical="center" wrapText="1"/>
    </xf>
    <xf numFmtId="0" fontId="26" fillId="0" borderId="0" xfId="0" applyFont="1" applyAlignment="1">
      <alignment horizontal="left" vertical="center" wrapText="1"/>
    </xf>
    <xf numFmtId="0" fontId="9" fillId="0" borderId="0" xfId="0" applyFont="1" applyAlignment="1">
      <alignment vertical="center" wrapText="1"/>
    </xf>
    <xf numFmtId="0" fontId="26" fillId="0" borderId="0" xfId="0" applyFont="1" applyAlignment="1">
      <alignment horizontal="center" vertical="center" wrapText="1"/>
    </xf>
    <xf numFmtId="0" fontId="13" fillId="0" borderId="119" xfId="0" applyFont="1" applyBorder="1" applyAlignment="1">
      <alignment horizontal="left" vertical="center" wrapText="1"/>
    </xf>
    <xf numFmtId="0" fontId="13" fillId="0" borderId="92" xfId="0" applyFont="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2" fillId="0" borderId="59" xfId="0" applyFont="1" applyBorder="1" applyAlignment="1">
      <alignment horizontal="center" vertical="center" wrapText="1"/>
    </xf>
    <xf numFmtId="0" fontId="12" fillId="0" borderId="70" xfId="0" applyFont="1" applyBorder="1" applyAlignment="1">
      <alignment horizontal="center" vertical="center" wrapText="1"/>
    </xf>
    <xf numFmtId="0" fontId="22" fillId="7" borderId="85" xfId="0" applyFont="1" applyFill="1" applyBorder="1" applyAlignment="1">
      <alignment horizontal="center" vertical="center" wrapText="1"/>
    </xf>
    <xf numFmtId="0" fontId="22" fillId="7" borderId="86" xfId="0" applyFont="1" applyFill="1" applyBorder="1" applyAlignment="1">
      <alignment horizontal="center" vertical="center" wrapText="1"/>
    </xf>
    <xf numFmtId="0" fontId="22" fillId="7" borderId="14" xfId="0" applyFont="1" applyFill="1" applyBorder="1" applyAlignment="1">
      <alignment horizontal="center" vertical="center" wrapText="1"/>
    </xf>
    <xf numFmtId="0" fontId="22" fillId="7" borderId="15" xfId="0" applyFont="1" applyFill="1" applyBorder="1" applyAlignment="1">
      <alignment horizontal="center" vertical="center" wrapText="1"/>
    </xf>
    <xf numFmtId="0" fontId="11" fillId="7" borderId="74" xfId="0" applyFont="1" applyFill="1" applyBorder="1" applyAlignment="1">
      <alignment horizontal="center" vertical="center" wrapText="1"/>
    </xf>
    <xf numFmtId="0" fontId="11" fillId="7" borderId="16" xfId="0" applyFont="1" applyFill="1" applyBorder="1" applyAlignment="1">
      <alignment horizontal="center" vertical="center"/>
    </xf>
    <xf numFmtId="0" fontId="13" fillId="0" borderId="0" xfId="0" applyFont="1" applyAlignment="1">
      <alignment horizontal="center" vertical="center" wrapText="1"/>
    </xf>
    <xf numFmtId="0" fontId="36" fillId="0" borderId="88" xfId="1" applyBorder="1" applyAlignment="1">
      <alignment horizontal="center" vertical="center" wrapText="1"/>
    </xf>
    <xf numFmtId="0" fontId="13" fillId="0" borderId="89" xfId="0" applyFont="1" applyBorder="1" applyAlignment="1">
      <alignment horizontal="center" vertical="center" wrapText="1"/>
    </xf>
    <xf numFmtId="0" fontId="12" fillId="0" borderId="5" xfId="0" applyFont="1" applyBorder="1" applyAlignment="1">
      <alignment horizontal="center" vertical="center"/>
    </xf>
    <xf numFmtId="0" fontId="13" fillId="0" borderId="88" xfId="0" applyFont="1" applyBorder="1" applyAlignment="1">
      <alignment horizontal="center" vertical="center" wrapText="1"/>
    </xf>
    <xf numFmtId="0" fontId="12" fillId="2" borderId="63"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2" borderId="48" xfId="0" applyFont="1" applyFill="1" applyBorder="1" applyAlignment="1">
      <alignment horizontal="center" vertical="center" wrapText="1"/>
    </xf>
    <xf numFmtId="0" fontId="12" fillId="0" borderId="68" xfId="0" applyFont="1" applyBorder="1" applyAlignment="1">
      <alignment horizontal="center" vertical="center"/>
    </xf>
    <xf numFmtId="0" fontId="12" fillId="0" borderId="72" xfId="0" applyFont="1" applyBorder="1" applyAlignment="1">
      <alignment horizontal="center" vertical="center"/>
    </xf>
    <xf numFmtId="0" fontId="12" fillId="0" borderId="56" xfId="0" applyFont="1" applyBorder="1" applyAlignment="1">
      <alignment horizontal="center" vertical="center"/>
    </xf>
    <xf numFmtId="0" fontId="12" fillId="0" borderId="59" xfId="0" applyFont="1" applyBorder="1" applyAlignment="1">
      <alignment horizontal="center" vertical="center"/>
    </xf>
    <xf numFmtId="0" fontId="22" fillId="7" borderId="74" xfId="0" applyFont="1" applyFill="1" applyBorder="1" applyAlignment="1">
      <alignment horizontal="center" vertical="center" wrapText="1"/>
    </xf>
    <xf numFmtId="0" fontId="22" fillId="7" borderId="16"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22" fillId="7" borderId="44" xfId="0" applyFont="1" applyFill="1" applyBorder="1" applyAlignment="1">
      <alignment horizontal="center" vertical="center" wrapText="1"/>
    </xf>
    <xf numFmtId="0" fontId="22" fillId="7" borderId="49" xfId="0" applyFont="1" applyFill="1" applyBorder="1" applyAlignment="1">
      <alignment horizontal="center" vertical="center" wrapText="1"/>
    </xf>
    <xf numFmtId="0" fontId="36" fillId="0" borderId="69" xfId="1" applyBorder="1" applyAlignment="1">
      <alignment horizontal="center" vertical="center" wrapText="1"/>
    </xf>
    <xf numFmtId="0" fontId="12" fillId="0" borderId="73" xfId="0" applyFont="1" applyBorder="1" applyAlignment="1">
      <alignment horizontal="center" vertical="center" wrapText="1"/>
    </xf>
    <xf numFmtId="0" fontId="12" fillId="0" borderId="57" xfId="0" applyFont="1" applyBorder="1" applyAlignment="1">
      <alignment horizontal="center" vertical="center" wrapText="1"/>
    </xf>
    <xf numFmtId="0" fontId="12" fillId="2" borderId="40" xfId="0" applyFont="1" applyFill="1" applyBorder="1" applyAlignment="1">
      <alignment horizontal="center" vertical="center" wrapText="1"/>
    </xf>
    <xf numFmtId="0" fontId="12" fillId="2" borderId="41" xfId="0" applyFont="1" applyFill="1" applyBorder="1" applyAlignment="1">
      <alignment horizontal="center" vertical="center" wrapText="1"/>
    </xf>
    <xf numFmtId="0" fontId="32" fillId="2" borderId="68" xfId="0" applyFont="1" applyFill="1" applyBorder="1" applyAlignment="1">
      <alignment horizontal="center" vertical="center" wrapText="1"/>
    </xf>
    <xf numFmtId="0" fontId="32" fillId="2" borderId="72" xfId="0" applyFont="1" applyFill="1" applyBorder="1" applyAlignment="1">
      <alignment horizontal="center" vertical="center" wrapText="1"/>
    </xf>
    <xf numFmtId="0" fontId="32" fillId="2" borderId="56" xfId="0" applyFont="1" applyFill="1" applyBorder="1" applyAlignment="1">
      <alignment horizontal="center" vertical="center" wrapText="1"/>
    </xf>
    <xf numFmtId="0" fontId="12" fillId="0" borderId="69" xfId="0" applyFont="1" applyBorder="1" applyAlignment="1">
      <alignment horizontal="center" vertical="center" wrapText="1"/>
    </xf>
    <xf numFmtId="0" fontId="19" fillId="6" borderId="77" xfId="0" applyFont="1" applyFill="1" applyBorder="1" applyAlignment="1">
      <alignment horizontal="center" vertical="center"/>
    </xf>
    <xf numFmtId="0" fontId="19" fillId="6" borderId="78" xfId="0" applyFont="1" applyFill="1" applyBorder="1" applyAlignment="1">
      <alignment horizontal="center" vertical="center"/>
    </xf>
    <xf numFmtId="0" fontId="19" fillId="6" borderId="97" xfId="0" applyFont="1" applyFill="1" applyBorder="1" applyAlignment="1">
      <alignment horizontal="center" vertical="center"/>
    </xf>
    <xf numFmtId="0" fontId="19" fillId="6" borderId="98" xfId="0" applyFont="1" applyFill="1" applyBorder="1" applyAlignment="1">
      <alignment horizontal="center" vertical="center"/>
    </xf>
    <xf numFmtId="0" fontId="19" fillId="6" borderId="26" xfId="0" applyFont="1" applyFill="1" applyBorder="1" applyAlignment="1">
      <alignment horizontal="center" vertical="center"/>
    </xf>
    <xf numFmtId="0" fontId="19" fillId="6" borderId="99" xfId="0" applyFont="1" applyFill="1" applyBorder="1" applyAlignment="1">
      <alignment horizontal="center" vertical="center"/>
    </xf>
    <xf numFmtId="0" fontId="20" fillId="0" borderId="98" xfId="0" applyFont="1" applyBorder="1" applyAlignment="1">
      <alignment horizontal="center" vertical="center"/>
    </xf>
    <xf numFmtId="0" fontId="20" fillId="0" borderId="26" xfId="0" applyFont="1" applyBorder="1" applyAlignment="1">
      <alignment horizontal="center" vertical="center"/>
    </xf>
    <xf numFmtId="0" fontId="20" fillId="0" borderId="99" xfId="0" applyFont="1" applyBorder="1" applyAlignment="1">
      <alignment horizontal="center" vertical="center"/>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68" xfId="0" applyFont="1" applyBorder="1" applyAlignment="1">
      <alignment horizontal="center" vertical="center" wrapText="1"/>
    </xf>
    <xf numFmtId="0" fontId="12" fillId="0" borderId="72" xfId="0" applyFont="1" applyBorder="1" applyAlignment="1">
      <alignment horizontal="center" vertical="center" wrapText="1"/>
    </xf>
    <xf numFmtId="0" fontId="12" fillId="0" borderId="56" xfId="0" applyFont="1" applyBorder="1" applyAlignment="1">
      <alignment horizontal="center" vertical="center" wrapText="1"/>
    </xf>
    <xf numFmtId="0" fontId="13" fillId="0" borderId="69" xfId="0" applyFont="1" applyBorder="1" applyAlignment="1">
      <alignment horizontal="center" vertical="center" wrapText="1"/>
    </xf>
    <xf numFmtId="0" fontId="13" fillId="0" borderId="73" xfId="0" applyFont="1" applyBorder="1" applyAlignment="1">
      <alignment horizontal="center" vertical="center" wrapText="1"/>
    </xf>
    <xf numFmtId="0" fontId="13" fillId="0" borderId="57" xfId="0" applyFont="1" applyBorder="1" applyAlignment="1">
      <alignment horizontal="center" vertical="center" wrapText="1"/>
    </xf>
    <xf numFmtId="0" fontId="21" fillId="0" borderId="100" xfId="0" applyFont="1" applyBorder="1" applyAlignment="1">
      <alignment horizontal="center" vertical="center"/>
      <extLst>
        <ext xmlns:xfpb="http://schemas.microsoft.com/office/spreadsheetml/2022/featurepropertybag" uri="{C7286773-470A-42A8-94C5-96B5CB345126}">
          <xfpb:xfComplement i="0"/>
        </ext>
      </extLst>
    </xf>
    <xf numFmtId="0" fontId="21" fillId="0" borderId="80" xfId="0" applyFont="1" applyBorder="1" applyAlignment="1">
      <alignment horizontal="center" vertical="center"/>
      <extLst>
        <ext xmlns:xfpb="http://schemas.microsoft.com/office/spreadsheetml/2022/featurepropertybag" uri="{C7286773-470A-42A8-94C5-96B5CB345126}">
          <xfpb:xfComplement i="0"/>
        </ext>
      </extLst>
    </xf>
    <xf numFmtId="0" fontId="21" fillId="0" borderId="81" xfId="0" applyFont="1" applyBorder="1" applyAlignment="1">
      <alignment horizontal="center" vertical="center"/>
    </xf>
    <xf numFmtId="0" fontId="21" fillId="0" borderId="100" xfId="0" applyFont="1" applyBorder="1" applyAlignment="1">
      <alignment horizontal="center" vertical="center"/>
    </xf>
    <xf numFmtId="0" fontId="18" fillId="4" borderId="50" xfId="0" applyFont="1" applyFill="1" applyBorder="1" applyAlignment="1">
      <alignment horizontal="center" vertical="center"/>
    </xf>
    <xf numFmtId="0" fontId="18" fillId="4" borderId="56" xfId="0" applyFont="1" applyFill="1" applyBorder="1" applyAlignment="1">
      <alignment horizontal="center" vertical="center"/>
    </xf>
    <xf numFmtId="0" fontId="9" fillId="0" borderId="51" xfId="0" applyFont="1" applyBorder="1" applyAlignment="1">
      <alignment horizontal="center" vertical="center"/>
    </xf>
    <xf numFmtId="0" fontId="9" fillId="0" borderId="57" xfId="0" applyFont="1" applyBorder="1" applyAlignment="1">
      <alignment horizontal="center" vertical="center"/>
    </xf>
    <xf numFmtId="0" fontId="11" fillId="7" borderId="58" xfId="0" applyFont="1" applyFill="1" applyBorder="1" applyAlignment="1">
      <alignment horizontal="center" vertical="center"/>
    </xf>
    <xf numFmtId="0" fontId="11" fillId="7" borderId="52" xfId="0" applyFont="1" applyFill="1" applyBorder="1" applyAlignment="1">
      <alignment horizontal="center" vertical="center"/>
    </xf>
    <xf numFmtId="0" fontId="25" fillId="0" borderId="42" xfId="0" applyFont="1" applyBorder="1" applyAlignment="1">
      <alignment horizontal="center" vertical="center" wrapText="1"/>
    </xf>
    <xf numFmtId="0" fontId="13" fillId="0" borderId="0" xfId="0" applyFont="1" applyAlignment="1">
      <alignment vertical="center" wrapText="1"/>
    </xf>
    <xf numFmtId="0" fontId="12" fillId="0" borderId="46" xfId="0" applyFont="1" applyBorder="1" applyAlignment="1">
      <alignment horizontal="center" vertical="center" wrapText="1"/>
    </xf>
    <xf numFmtId="0" fontId="12" fillId="0" borderId="47" xfId="0" applyFont="1" applyBorder="1" applyAlignment="1">
      <alignment horizontal="center" vertical="center" wrapText="1"/>
    </xf>
    <xf numFmtId="0" fontId="12" fillId="0" borderId="67" xfId="0" applyFont="1" applyBorder="1" applyAlignment="1">
      <alignment horizontal="center" vertical="center" wrapText="1"/>
    </xf>
    <xf numFmtId="0" fontId="12" fillId="0" borderId="71" xfId="0" applyFont="1" applyBorder="1" applyAlignment="1">
      <alignment horizontal="center" vertical="center" wrapText="1"/>
    </xf>
    <xf numFmtId="0" fontId="12" fillId="0" borderId="61" xfId="0" applyFont="1" applyBorder="1" applyAlignment="1">
      <alignment horizontal="center" vertical="center" wrapText="1"/>
    </xf>
    <xf numFmtId="0" fontId="36" fillId="0" borderId="46" xfId="1" applyBorder="1" applyAlignment="1">
      <alignment horizontal="center" vertical="center" wrapText="1"/>
    </xf>
    <xf numFmtId="0" fontId="13" fillId="0" borderId="46" xfId="0" applyFont="1" applyBorder="1" applyAlignment="1">
      <alignment horizontal="center" vertical="center" wrapText="1"/>
    </xf>
    <xf numFmtId="0" fontId="11" fillId="7" borderId="44" xfId="0" applyFont="1" applyFill="1" applyBorder="1" applyAlignment="1">
      <alignment horizontal="center" vertical="center"/>
    </xf>
    <xf numFmtId="0" fontId="11" fillId="7" borderId="75" xfId="0" applyFont="1" applyFill="1" applyBorder="1" applyAlignment="1">
      <alignment horizontal="center" vertical="center"/>
    </xf>
    <xf numFmtId="0" fontId="11" fillId="7" borderId="76" xfId="0" applyFont="1" applyFill="1" applyBorder="1" applyAlignment="1">
      <alignment horizontal="center" vertical="center"/>
    </xf>
    <xf numFmtId="0" fontId="12" fillId="0" borderId="92"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42" xfId="0" applyFont="1" applyBorder="1" applyAlignment="1">
      <alignment horizontal="center" vertical="top" wrapText="1"/>
    </xf>
    <xf numFmtId="0" fontId="12" fillId="0" borderId="43" xfId="0" applyFont="1" applyBorder="1" applyAlignment="1">
      <alignment horizontal="center" vertical="top" wrapText="1"/>
    </xf>
    <xf numFmtId="0" fontId="13" fillId="0" borderId="95" xfId="0" applyFont="1" applyBorder="1" applyAlignment="1">
      <alignment horizontal="center" vertical="center" wrapText="1"/>
    </xf>
    <xf numFmtId="0" fontId="11" fillId="7" borderId="116" xfId="0" applyFont="1" applyFill="1" applyBorder="1" applyAlignment="1">
      <alignment horizontal="center" vertical="center" wrapText="1"/>
    </xf>
    <xf numFmtId="0" fontId="11" fillId="7" borderId="117" xfId="0" applyFont="1" applyFill="1" applyBorder="1" applyAlignment="1">
      <alignment horizontal="center" vertical="center" wrapText="1"/>
    </xf>
    <xf numFmtId="0" fontId="12" fillId="5" borderId="53" xfId="0" applyFont="1" applyFill="1" applyBorder="1" applyAlignment="1">
      <alignment horizontal="center" vertical="center" wrapText="1"/>
    </xf>
    <xf numFmtId="0" fontId="12" fillId="5" borderId="55" xfId="0" applyFont="1" applyFill="1" applyBorder="1" applyAlignment="1">
      <alignment horizontal="center" vertical="center" wrapText="1"/>
    </xf>
    <xf numFmtId="0" fontId="13" fillId="2" borderId="56"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 borderId="43" xfId="0" applyFont="1" applyFill="1" applyBorder="1" applyAlignment="1">
      <alignment horizontal="center" vertical="center" wrapText="1"/>
    </xf>
    <xf numFmtId="0" fontId="11" fillId="3" borderId="44" xfId="0" applyFont="1" applyFill="1" applyBorder="1" applyAlignment="1">
      <alignment horizontal="center" vertical="center"/>
    </xf>
    <xf numFmtId="0" fontId="11" fillId="3" borderId="64" xfId="0" applyFont="1" applyFill="1" applyBorder="1" applyAlignment="1">
      <alignment horizontal="center" vertical="center"/>
    </xf>
    <xf numFmtId="0" fontId="11" fillId="3" borderId="65" xfId="0" applyFont="1" applyFill="1" applyBorder="1" applyAlignment="1">
      <alignment horizontal="center" vertical="center"/>
    </xf>
    <xf numFmtId="0" fontId="11" fillId="7" borderId="19" xfId="0" applyFont="1" applyFill="1" applyBorder="1" applyAlignment="1">
      <alignment horizontal="center" vertical="center" wrapText="1"/>
    </xf>
    <xf numFmtId="0" fontId="11" fillId="7" borderId="66" xfId="0" applyFont="1" applyFill="1" applyBorder="1" applyAlignment="1">
      <alignment horizontal="center" vertical="center" wrapText="1"/>
    </xf>
    <xf numFmtId="0" fontId="11" fillId="7" borderId="45" xfId="0" applyFont="1" applyFill="1" applyBorder="1" applyAlignment="1">
      <alignment horizontal="center" vertical="center" wrapText="1"/>
    </xf>
    <xf numFmtId="0" fontId="11" fillId="7" borderId="83" xfId="0" applyFont="1" applyFill="1" applyBorder="1" applyAlignment="1">
      <alignment horizontal="center" vertical="center" wrapText="1"/>
    </xf>
    <xf numFmtId="0" fontId="11" fillId="7" borderId="84" xfId="0" applyFont="1" applyFill="1" applyBorder="1" applyAlignment="1">
      <alignment horizontal="center" vertical="center" wrapText="1"/>
    </xf>
    <xf numFmtId="0" fontId="12" fillId="0" borderId="93" xfId="0" applyFont="1" applyBorder="1" applyAlignment="1">
      <alignment horizontal="center" vertical="center" wrapText="1"/>
    </xf>
    <xf numFmtId="0" fontId="13" fillId="0" borderId="94" xfId="0" applyFont="1" applyBorder="1" applyAlignment="1">
      <alignment horizontal="center" vertical="center" wrapText="1"/>
    </xf>
    <xf numFmtId="0" fontId="12" fillId="0" borderId="20" xfId="0" applyFont="1" applyBorder="1" applyAlignment="1">
      <alignment horizontal="center" vertical="center" wrapText="1"/>
    </xf>
    <xf numFmtId="0" fontId="13" fillId="0" borderId="87" xfId="0" applyFont="1" applyBorder="1" applyAlignment="1">
      <alignment horizontal="center" vertical="center" wrapText="1"/>
    </xf>
    <xf numFmtId="0" fontId="12" fillId="0" borderId="24" xfId="0" applyFont="1" applyBorder="1" applyAlignment="1">
      <alignment horizontal="center" vertical="center" wrapText="1"/>
    </xf>
    <xf numFmtId="0" fontId="11" fillId="7" borderId="90" xfId="0" applyFont="1" applyFill="1" applyBorder="1" applyAlignment="1">
      <alignment horizontal="center" vertical="center"/>
    </xf>
    <xf numFmtId="0" fontId="11" fillId="7" borderId="91" xfId="0" applyFont="1" applyFill="1" applyBorder="1" applyAlignment="1">
      <alignment horizontal="center" vertical="center"/>
    </xf>
    <xf numFmtId="0" fontId="11" fillId="7" borderId="28" xfId="0" applyFont="1" applyFill="1" applyBorder="1" applyAlignment="1">
      <alignment horizontal="center" vertical="center"/>
    </xf>
    <xf numFmtId="0" fontId="12" fillId="0" borderId="0" xfId="0" applyFont="1" applyAlignment="1">
      <alignment vertical="center" wrapText="1"/>
    </xf>
    <xf numFmtId="0" fontId="11" fillId="7" borderId="27" xfId="0" applyFont="1" applyFill="1" applyBorder="1" applyAlignment="1">
      <alignment horizontal="center" vertical="center"/>
    </xf>
    <xf numFmtId="0" fontId="11" fillId="7" borderId="121" xfId="0" applyFont="1" applyFill="1" applyBorder="1" applyAlignment="1">
      <alignment horizontal="center" vertical="center"/>
    </xf>
    <xf numFmtId="0" fontId="12" fillId="5" borderId="62" xfId="0" applyFont="1" applyFill="1" applyBorder="1" applyAlignment="1">
      <alignment horizontal="center" vertical="center" wrapText="1"/>
    </xf>
    <xf numFmtId="0" fontId="12" fillId="5" borderId="0" xfId="0" applyFont="1" applyFill="1" applyAlignment="1">
      <alignment horizontal="center" vertical="center" wrapText="1"/>
    </xf>
    <xf numFmtId="0" fontId="13" fillId="2" borderId="0" xfId="0" applyFont="1" applyFill="1" applyAlignment="1">
      <alignment horizontal="center" vertical="center" wrapText="1"/>
    </xf>
    <xf numFmtId="0" fontId="13" fillId="0" borderId="44" xfId="0" applyFont="1" applyBorder="1" applyAlignment="1">
      <alignment horizontal="center" vertical="center" wrapText="1"/>
    </xf>
    <xf numFmtId="0" fontId="13" fillId="0" borderId="64"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49" xfId="0" applyFont="1" applyBorder="1" applyAlignment="1">
      <alignment horizontal="center" vertical="center" wrapText="1"/>
    </xf>
    <xf numFmtId="0" fontId="13" fillId="0" borderId="82"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83" xfId="0" applyFont="1" applyBorder="1" applyAlignment="1">
      <alignment horizontal="center" vertical="center" wrapText="1"/>
    </xf>
    <xf numFmtId="0" fontId="13" fillId="0" borderId="84" xfId="0" applyFont="1" applyBorder="1" applyAlignment="1">
      <alignment horizontal="center" vertical="center" wrapText="1"/>
    </xf>
    <xf numFmtId="0" fontId="13" fillId="2" borderId="44" xfId="0" applyFont="1" applyFill="1" applyBorder="1" applyAlignment="1">
      <alignment horizontal="center" vertical="center" wrapText="1"/>
    </xf>
    <xf numFmtId="0" fontId="13" fillId="2" borderId="64" xfId="0" applyFont="1" applyFill="1" applyBorder="1" applyAlignment="1">
      <alignment horizontal="center" vertical="center" wrapText="1"/>
    </xf>
    <xf numFmtId="0" fontId="13" fillId="2" borderId="65" xfId="0" applyFont="1" applyFill="1" applyBorder="1" applyAlignment="1">
      <alignment horizontal="center" vertical="center" wrapText="1"/>
    </xf>
    <xf numFmtId="0" fontId="13" fillId="2" borderId="45" xfId="0" applyFont="1" applyFill="1" applyBorder="1" applyAlignment="1">
      <alignment horizontal="center" vertical="center" wrapText="1"/>
    </xf>
    <xf numFmtId="0" fontId="13" fillId="2" borderId="83" xfId="0" applyFont="1" applyFill="1" applyBorder="1" applyAlignment="1">
      <alignment horizontal="center" vertical="center" wrapText="1"/>
    </xf>
    <xf numFmtId="0" fontId="13" fillId="2" borderId="84"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24" fillId="5" borderId="55" xfId="0" applyFont="1" applyFill="1" applyBorder="1" applyAlignment="1">
      <alignment horizontal="center" vertical="center" wrapText="1"/>
    </xf>
    <xf numFmtId="0" fontId="13" fillId="0" borderId="56"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47" xfId="0" applyFont="1" applyBorder="1" applyAlignment="1">
      <alignment horizontal="center" vertical="center" wrapText="1"/>
    </xf>
    <xf numFmtId="0" fontId="12" fillId="5" borderId="54" xfId="0" applyFont="1" applyFill="1" applyBorder="1" applyAlignment="1">
      <alignment horizontal="center" vertical="center"/>
    </xf>
    <xf numFmtId="0" fontId="12" fillId="5" borderId="62" xfId="0" applyFont="1" applyFill="1" applyBorder="1" applyAlignment="1">
      <alignment horizontal="center" vertical="center"/>
    </xf>
    <xf numFmtId="0" fontId="12" fillId="2" borderId="69" xfId="0" applyFont="1" applyFill="1" applyBorder="1" applyAlignment="1">
      <alignment horizontal="center" vertical="center" wrapText="1"/>
    </xf>
    <xf numFmtId="0" fontId="12" fillId="2" borderId="73"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60" xfId="0" applyFont="1" applyFill="1" applyBorder="1" applyAlignment="1">
      <alignment horizontal="center" vertical="center" wrapText="1"/>
    </xf>
    <xf numFmtId="0" fontId="12" fillId="2" borderId="51" xfId="0" applyFont="1" applyFill="1" applyBorder="1" applyAlignment="1">
      <alignment horizontal="center" vertical="center" wrapText="1"/>
    </xf>
    <xf numFmtId="0" fontId="12" fillId="2" borderId="96" xfId="0" applyFont="1" applyFill="1" applyBorder="1" applyAlignment="1">
      <alignment horizontal="center" vertical="center" wrapText="1"/>
    </xf>
    <xf numFmtId="0" fontId="11" fillId="3" borderId="33"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35" xfId="0" applyFont="1" applyFill="1" applyBorder="1" applyAlignment="1">
      <alignment horizontal="center" vertical="center"/>
    </xf>
    <xf numFmtId="0" fontId="13" fillId="0" borderId="22"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39" xfId="0" applyFont="1" applyBorder="1" applyAlignment="1">
      <alignment horizontal="center" vertical="center" wrapText="1"/>
    </xf>
    <xf numFmtId="0" fontId="15" fillId="0" borderId="18" xfId="0" applyFont="1" applyBorder="1" applyAlignment="1">
      <alignment horizontal="center" vertical="center" wrapText="1"/>
    </xf>
    <xf numFmtId="0" fontId="13" fillId="2" borderId="18" xfId="0" applyFont="1" applyFill="1" applyBorder="1" applyAlignment="1">
      <alignment horizontal="center" vertical="center" wrapText="1"/>
    </xf>
    <xf numFmtId="0" fontId="9" fillId="2" borderId="0" xfId="0" applyFont="1" applyFill="1" applyAlignment="1">
      <alignment horizontal="center" wrapText="1"/>
    </xf>
    <xf numFmtId="0" fontId="9" fillId="2" borderId="18" xfId="0" applyFont="1" applyFill="1" applyBorder="1" applyAlignment="1">
      <alignment horizontal="center" wrapText="1"/>
    </xf>
    <xf numFmtId="0" fontId="17" fillId="0" borderId="102" xfId="0" applyFont="1" applyBorder="1" applyAlignment="1">
      <alignment horizontal="center" vertical="center" wrapText="1"/>
    </xf>
    <xf numFmtId="0" fontId="17" fillId="0" borderId="103"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104" xfId="0" applyFont="1" applyBorder="1" applyAlignment="1">
      <alignment horizontal="center"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xf numFmtId="0" fontId="0" fillId="0" borderId="6" xfId="0" applyBorder="1"/>
    <xf numFmtId="0" fontId="26" fillId="0" borderId="118" xfId="0" applyFont="1" applyBorder="1" applyAlignment="1">
      <alignment horizontal="left" vertical="center" wrapText="1"/>
    </xf>
    <xf numFmtId="0" fontId="0" fillId="0" borderId="122" xfId="0" applyBorder="1"/>
    <xf numFmtId="0" fontId="0" fillId="0" borderId="7" xfId="0" applyBorder="1"/>
    <xf numFmtId="0" fontId="0" fillId="0" borderId="114" xfId="0" applyBorder="1"/>
    <xf numFmtId="0" fontId="0" fillId="0" borderId="117" xfId="0" applyBorder="1"/>
    <xf numFmtId="0" fontId="26" fillId="0" borderId="93" xfId="0" applyFont="1" applyBorder="1" applyAlignment="1">
      <alignment horizontal="left" vertical="center" wrapText="1"/>
    </xf>
    <xf numFmtId="0" fontId="0" fillId="0" borderId="123" xfId="0" applyBorder="1"/>
    <xf numFmtId="0" fontId="26" fillId="0" borderId="117" xfId="0" applyFont="1" applyBorder="1" applyAlignment="1">
      <alignment horizontal="left" vertical="center" wrapText="1"/>
    </xf>
    <xf numFmtId="0" fontId="0" fillId="0" borderId="61" xfId="0" applyBorder="1"/>
    <xf numFmtId="0" fontId="26" fillId="0" borderId="120" xfId="0" applyFont="1" applyBorder="1" applyAlignment="1">
      <alignment horizontal="left" vertical="center" wrapText="1"/>
    </xf>
    <xf numFmtId="0" fontId="0" fillId="0" borderId="124" xfId="0" applyBorder="1"/>
    <xf numFmtId="0" fontId="0" fillId="0" borderId="125" xfId="0" applyBorder="1"/>
    <xf numFmtId="0" fontId="0" fillId="0" borderId="59" xfId="0" applyBorder="1"/>
    <xf numFmtId="0" fontId="0" fillId="0" borderId="70" xfId="0" applyBorder="1"/>
    <xf numFmtId="0" fontId="13" fillId="0" borderId="3" xfId="0" applyFont="1" applyBorder="1" applyAlignment="1">
      <alignment horizontal="left" vertical="center" wrapText="1"/>
    </xf>
    <xf numFmtId="0" fontId="13" fillId="0" borderId="6" xfId="0" applyFont="1" applyBorder="1" applyAlignment="1">
      <alignment horizontal="left" vertical="center" wrapText="1"/>
    </xf>
    <xf numFmtId="0" fontId="13" fillId="0" borderId="4" xfId="0" applyFont="1" applyBorder="1" applyAlignment="1">
      <alignment horizontal="left" vertical="center" wrapText="1"/>
    </xf>
    <xf numFmtId="0" fontId="13" fillId="0" borderId="7" xfId="0" applyFont="1" applyBorder="1" applyAlignment="1">
      <alignment horizontal="left" vertical="center" wrapText="1"/>
    </xf>
    <xf numFmtId="0" fontId="13" fillId="0" borderId="126" xfId="0" applyFont="1" applyBorder="1" applyAlignment="1">
      <alignment horizontal="left" vertical="center" wrapText="1"/>
    </xf>
    <xf numFmtId="0" fontId="13" fillId="0" borderId="127" xfId="0" applyFont="1" applyBorder="1" applyAlignment="1">
      <alignment horizontal="left" vertical="center" wrapText="1"/>
    </xf>
  </cellXfs>
  <cellStyles count="2">
    <cellStyle name="Hipervínculo" xfId="1" builtinId="8"/>
    <cellStyle name="Normal" xfId="0" builtinId="0"/>
  </cellStyles>
  <dxfs count="2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E1EF57"/>
        </patternFill>
      </fill>
    </dxf>
    <dxf>
      <fill>
        <patternFill>
          <bgColor rgb="FFE2ED51"/>
        </patternFill>
      </fill>
    </dxf>
    <dxf>
      <fill>
        <patternFill>
          <bgColor rgb="FF92D050"/>
        </patternFill>
      </fill>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9" defaultPivotStyle="PivotStyleLight16"/>
  <colors>
    <mruColors>
      <color rgb="FFCD03A7"/>
      <color rgb="FFE1EF57"/>
      <color rgb="FFE6DE74"/>
      <color rgb="FFDEE16D"/>
      <color rgb="FFE9E96D"/>
      <color rgb="FFE6E95D"/>
      <color rgb="FFE2ED51"/>
      <color rgb="FFFC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5</xdr:col>
      <xdr:colOff>198053</xdr:colOff>
      <xdr:row>0</xdr:row>
      <xdr:rowOff>31303</xdr:rowOff>
    </xdr:from>
    <xdr:to>
      <xdr:col>5</xdr:col>
      <xdr:colOff>895655</xdr:colOff>
      <xdr:row>1</xdr:row>
      <xdr:rowOff>311795</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115459" y="31303"/>
          <a:ext cx="697602" cy="649586"/>
        </a:xfrm>
        <a:prstGeom prst="rect">
          <a:avLst/>
        </a:prstGeom>
      </xdr:spPr>
    </xdr:pic>
    <xdr:clientData/>
  </xdr:twoCellAnchor>
  <xdr:twoCellAnchor editAs="oneCell">
    <xdr:from>
      <xdr:col>1</xdr:col>
      <xdr:colOff>716280</xdr:colOff>
      <xdr:row>81</xdr:row>
      <xdr:rowOff>150598</xdr:rowOff>
    </xdr:from>
    <xdr:to>
      <xdr:col>3</xdr:col>
      <xdr:colOff>365760</xdr:colOff>
      <xdr:row>81</xdr:row>
      <xdr:rowOff>2880941</xdr:rowOff>
    </xdr:to>
    <xdr:pic>
      <xdr:nvPicPr>
        <xdr:cNvPr id="3" name="Imagen 2">
          <a:extLst>
            <a:ext uri="{FF2B5EF4-FFF2-40B4-BE49-F238E27FC236}">
              <a16:creationId xmlns:a16="http://schemas.microsoft.com/office/drawing/2014/main" id="{091F5962-91D6-8606-4D90-AC2B8F9068F2}"/>
            </a:ext>
          </a:extLst>
        </xdr:cNvPr>
        <xdr:cNvPicPr>
          <a:picLocks noChangeAspect="1"/>
        </xdr:cNvPicPr>
      </xdr:nvPicPr>
      <xdr:blipFill>
        <a:blip xmlns:r="http://schemas.openxmlformats.org/officeDocument/2006/relationships" r:embed="rId2"/>
        <a:stretch>
          <a:fillRect/>
        </a:stretch>
      </xdr:blipFill>
      <xdr:spPr>
        <a:xfrm>
          <a:off x="883920" y="26485318"/>
          <a:ext cx="4236720" cy="2730343"/>
        </a:xfrm>
        <a:prstGeom prst="rect">
          <a:avLst/>
        </a:prstGeom>
      </xdr:spPr>
    </xdr:pic>
    <xdr:clientData/>
  </xdr:twoCellAnchor>
  <xdr:twoCellAnchor editAs="oneCell">
    <xdr:from>
      <xdr:col>3</xdr:col>
      <xdr:colOff>793652</xdr:colOff>
      <xdr:row>81</xdr:row>
      <xdr:rowOff>135358</xdr:rowOff>
    </xdr:from>
    <xdr:to>
      <xdr:col>6</xdr:col>
      <xdr:colOff>1264920</xdr:colOff>
      <xdr:row>81</xdr:row>
      <xdr:rowOff>2788920</xdr:rowOff>
    </xdr:to>
    <xdr:pic>
      <xdr:nvPicPr>
        <xdr:cNvPr id="5" name="Imagen 4">
          <a:extLst>
            <a:ext uri="{FF2B5EF4-FFF2-40B4-BE49-F238E27FC236}">
              <a16:creationId xmlns:a16="http://schemas.microsoft.com/office/drawing/2014/main" id="{6FFA3F6F-A771-42C1-A7BB-2DBEDB99D294}"/>
            </a:ext>
          </a:extLst>
        </xdr:cNvPr>
        <xdr:cNvPicPr>
          <a:picLocks noChangeAspect="1"/>
        </xdr:cNvPicPr>
      </xdr:nvPicPr>
      <xdr:blipFill>
        <a:blip xmlns:r="http://schemas.openxmlformats.org/officeDocument/2006/relationships" r:embed="rId3"/>
        <a:stretch>
          <a:fillRect/>
        </a:stretch>
      </xdr:blipFill>
      <xdr:spPr>
        <a:xfrm>
          <a:off x="5548532" y="26470078"/>
          <a:ext cx="4875628" cy="2653562"/>
        </a:xfrm>
        <a:prstGeom prst="rect">
          <a:avLst/>
        </a:prstGeom>
      </xdr:spPr>
    </xdr:pic>
    <xdr:clientData/>
  </xdr:twoCellAnchor>
  <xdr:twoCellAnchor editAs="oneCell">
    <xdr:from>
      <xdr:col>7</xdr:col>
      <xdr:colOff>198120</xdr:colOff>
      <xdr:row>81</xdr:row>
      <xdr:rowOff>152400</xdr:rowOff>
    </xdr:from>
    <xdr:to>
      <xdr:col>8</xdr:col>
      <xdr:colOff>3215640</xdr:colOff>
      <xdr:row>81</xdr:row>
      <xdr:rowOff>2682240</xdr:rowOff>
    </xdr:to>
    <xdr:pic>
      <xdr:nvPicPr>
        <xdr:cNvPr id="6" name="Imagen 5">
          <a:extLst>
            <a:ext uri="{FF2B5EF4-FFF2-40B4-BE49-F238E27FC236}">
              <a16:creationId xmlns:a16="http://schemas.microsoft.com/office/drawing/2014/main" id="{BBC8A5D7-0E7F-790D-6FE7-AAD392B5AFCC}"/>
            </a:ext>
          </a:extLst>
        </xdr:cNvPr>
        <xdr:cNvPicPr>
          <a:picLocks noChangeAspect="1"/>
        </xdr:cNvPicPr>
      </xdr:nvPicPr>
      <xdr:blipFill>
        <a:blip xmlns:r="http://schemas.openxmlformats.org/officeDocument/2006/relationships" r:embed="rId4"/>
        <a:stretch>
          <a:fillRect/>
        </a:stretch>
      </xdr:blipFill>
      <xdr:spPr>
        <a:xfrm>
          <a:off x="10911840" y="26487120"/>
          <a:ext cx="5318760" cy="2529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Visita%201%20GFPI-F023.xlsx" TargetMode="External"/><Relationship Id="rId1" Type="http://schemas.openxmlformats.org/officeDocument/2006/relationships/externalLinkPath" Target="Visita%201%20GFPI-F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o Visita 1"/>
      <sheetName val="BD_SENA"/>
    </sheetNames>
    <sheetDataSet>
      <sheetData sheetId="0">
        <row r="50">
          <cell r="C50" t="str">
            <v>38392 - Establecer requisitos de la solución de software de acuerdo con estándares y procedimiento técnico</v>
          </cell>
        </row>
        <row r="51">
          <cell r="C51" t="str">
            <v>38362 - Diseñar la solución de software de acuerdo con procedimientos y requisitos técnicos</v>
          </cell>
        </row>
        <row r="52">
          <cell r="C52" t="str">
            <v>38368 - Desarrollar la solución de software de acuerdo con el diseño y metodologías de desarrollo</v>
          </cell>
        </row>
        <row r="53">
          <cell r="C53" t="str">
            <v>38367 - Estructurar propuesta técnica de servicio de tecnología de la información según requisitos técnicos y normativa</v>
          </cell>
        </row>
        <row r="54">
          <cell r="C54" t="str">
            <v>38376 - Evaluar requisitos de la solución de software de acuerdo con metodologías de análisis y estándares</v>
          </cell>
        </row>
      </sheetData>
      <sheetData sheetId="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010CAF-386D-41BE-AE72-8D38EFA83A09}" name="TablaSena" displayName="TablaSena" ref="A1:C39" totalsRowShown="0" headerRowDxfId="19" headerRowBorderDxfId="18" tableBorderDxfId="17" totalsRowBorderDxfId="16">
  <autoFilter ref="A1:C39" xr:uid="{99010CAF-386D-41BE-AE72-8D38EFA83A09}"/>
  <tableColumns count="3">
    <tableColumn id="1" xr3:uid="{61F34070-348E-42B3-BF87-5A1CD2BB6FD7}" name="PROGRAMA" dataDxfId="15"/>
    <tableColumn id="2" xr3:uid="{7B4CB996-89B6-45DE-A53A-D02152366731}" name="COMPETENCIA" dataDxfId="14"/>
    <tableColumn id="3" xr3:uid="{529DD12A-961C-42BF-9AA1-50D419FC6C5E}" name="RESULTADO DE APRENDIZAJE (RAP)" dataDxfId="13"/>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fmendez@sena.edu.co" TargetMode="External"/><Relationship Id="rId2" Type="http://schemas.openxmlformats.org/officeDocument/2006/relationships/hyperlink" Target="mailto:diegotapia.s@hotmail.com" TargetMode="External"/><Relationship Id="rId1" Type="http://schemas.openxmlformats.org/officeDocument/2006/relationships/hyperlink" Target="mailto:diegoa_tapias@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sheetPr>
    <pageSetUpPr fitToPage="1"/>
  </sheetPr>
  <dimension ref="A1:AB114"/>
  <sheetViews>
    <sheetView showGridLines="0" tabSelected="1" view="pageBreakPreview" topLeftCell="A56" zoomScale="50" zoomScaleNormal="80" zoomScaleSheetLayoutView="50" workbookViewId="0">
      <selection activeCell="B82" sqref="B82:I82"/>
    </sheetView>
  </sheetViews>
  <sheetFormatPr baseColWidth="10" defaultColWidth="0" defaultRowHeight="15" customHeight="1" zeroHeight="1" x14ac:dyDescent="0.3"/>
  <cols>
    <col min="1" max="1" width="2.33203125" style="30" customWidth="1"/>
    <col min="2" max="2" width="27.33203125" style="9" customWidth="1"/>
    <col min="3" max="3" width="39.5546875" style="9" customWidth="1"/>
    <col min="4" max="4" width="21.5546875" style="9" customWidth="1"/>
    <col min="5" max="5" width="20" style="30" customWidth="1"/>
    <col min="6" max="6" width="22.5546875" style="30" customWidth="1"/>
    <col min="7" max="7" width="22.5546875" style="9" customWidth="1"/>
    <col min="8" max="8" width="33.5546875" style="9" customWidth="1"/>
    <col min="9" max="9" width="55" style="9" customWidth="1"/>
    <col min="10" max="10" width="8.44140625" style="9" hidden="1" customWidth="1"/>
    <col min="11" max="11" width="6.44140625" style="9" hidden="1" customWidth="1"/>
    <col min="12" max="17" width="5.6640625" style="9" hidden="1" customWidth="1"/>
    <col min="18" max="18" width="4.6640625" style="9" hidden="1" customWidth="1"/>
    <col min="19" max="19" width="5.88671875" style="9" hidden="1" customWidth="1"/>
    <col min="20" max="20" width="7.44140625" style="9" hidden="1" customWidth="1"/>
    <col min="21" max="21" width="7.109375" style="9" hidden="1" customWidth="1"/>
    <col min="22" max="23" width="5.6640625" style="9" hidden="1" customWidth="1"/>
    <col min="24" max="24" width="5" style="9" hidden="1" customWidth="1"/>
    <col min="25" max="25" width="6.44140625" style="9" hidden="1" customWidth="1"/>
    <col min="26" max="26" width="8.109375" style="9" hidden="1" customWidth="1"/>
    <col min="27" max="27" width="5.109375" style="9" hidden="1" customWidth="1"/>
    <col min="28" max="28" width="24.44140625" style="8" hidden="1" customWidth="1"/>
    <col min="29" max="16384" width="11.44140625" style="7" hidden="1"/>
  </cols>
  <sheetData>
    <row r="1" spans="2:28" ht="29.25" customHeight="1" x14ac:dyDescent="0.3">
      <c r="B1" s="21"/>
      <c r="C1" s="22"/>
      <c r="D1" s="22"/>
      <c r="E1" s="26"/>
      <c r="F1" s="26"/>
      <c r="G1" s="22"/>
      <c r="H1" s="22"/>
      <c r="I1" s="23" t="s">
        <v>0</v>
      </c>
      <c r="J1" s="8"/>
      <c r="K1" s="7"/>
      <c r="L1" s="7"/>
      <c r="M1" s="7"/>
      <c r="N1" s="7"/>
      <c r="O1" s="7"/>
      <c r="P1" s="7"/>
      <c r="Q1" s="7"/>
      <c r="R1" s="7"/>
      <c r="S1" s="7"/>
      <c r="T1" s="7"/>
      <c r="U1" s="7"/>
      <c r="V1" s="7"/>
      <c r="W1" s="7"/>
      <c r="X1" s="7"/>
      <c r="Y1" s="7"/>
      <c r="Z1" s="7"/>
      <c r="AA1" s="7"/>
      <c r="AB1" s="7"/>
    </row>
    <row r="2" spans="2:28" ht="29.25" customHeight="1" x14ac:dyDescent="0.3">
      <c r="B2" s="24"/>
      <c r="C2" s="66"/>
      <c r="D2" s="66"/>
      <c r="E2" s="18"/>
      <c r="F2" s="18"/>
      <c r="G2" s="66"/>
      <c r="H2" s="66"/>
      <c r="I2" s="25" t="s">
        <v>1</v>
      </c>
      <c r="J2" s="8"/>
      <c r="K2" s="7"/>
      <c r="L2" s="7"/>
      <c r="M2" s="7"/>
      <c r="N2" s="7"/>
      <c r="O2" s="7"/>
      <c r="P2" s="7"/>
      <c r="Q2" s="7"/>
      <c r="R2" s="7"/>
      <c r="S2" s="7"/>
      <c r="T2" s="7"/>
      <c r="U2" s="7"/>
      <c r="V2" s="7"/>
      <c r="W2" s="7"/>
      <c r="X2" s="7"/>
      <c r="Y2" s="7"/>
      <c r="Z2" s="7"/>
      <c r="AA2" s="7"/>
      <c r="AB2" s="7"/>
    </row>
    <row r="3" spans="2:28" ht="24" customHeight="1" x14ac:dyDescent="0.3">
      <c r="B3" s="144" t="s">
        <v>2</v>
      </c>
      <c r="C3" s="145"/>
      <c r="D3" s="145"/>
      <c r="E3" s="145"/>
      <c r="F3" s="145"/>
      <c r="G3" s="145"/>
      <c r="H3" s="145"/>
      <c r="I3" s="146"/>
      <c r="J3" s="8"/>
      <c r="K3" s="7"/>
      <c r="L3" s="7"/>
      <c r="M3" s="7"/>
      <c r="N3" s="7"/>
      <c r="O3" s="7"/>
      <c r="P3" s="7"/>
      <c r="Q3" s="7"/>
      <c r="R3" s="7"/>
      <c r="S3" s="7"/>
      <c r="T3" s="7"/>
      <c r="U3" s="7"/>
      <c r="V3" s="7"/>
      <c r="W3" s="7"/>
      <c r="X3" s="7"/>
      <c r="Y3" s="7"/>
      <c r="Z3" s="7"/>
      <c r="AA3" s="7"/>
      <c r="AB3" s="7"/>
    </row>
    <row r="4" spans="2:28" ht="24" customHeight="1" x14ac:dyDescent="0.3">
      <c r="B4" s="150" t="s">
        <v>3</v>
      </c>
      <c r="C4" s="151"/>
      <c r="D4" s="151"/>
      <c r="E4" s="151"/>
      <c r="F4" s="151"/>
      <c r="G4" s="151"/>
      <c r="H4" s="151"/>
      <c r="I4" s="152"/>
      <c r="J4" s="8"/>
      <c r="K4" s="7"/>
      <c r="L4" s="7"/>
      <c r="M4" s="7"/>
      <c r="N4" s="7"/>
      <c r="O4" s="7"/>
      <c r="P4" s="7"/>
      <c r="Q4" s="7"/>
      <c r="R4" s="7"/>
      <c r="S4" s="7"/>
      <c r="T4" s="7"/>
      <c r="U4" s="7"/>
      <c r="V4" s="7"/>
      <c r="W4" s="7"/>
      <c r="X4" s="7"/>
      <c r="Y4" s="7"/>
      <c r="Z4" s="7"/>
      <c r="AA4" s="7"/>
      <c r="AB4" s="7"/>
    </row>
    <row r="5" spans="2:28" ht="24" customHeight="1" x14ac:dyDescent="0.3">
      <c r="B5" s="147" t="s">
        <v>4</v>
      </c>
      <c r="C5" s="148"/>
      <c r="D5" s="148"/>
      <c r="E5" s="148"/>
      <c r="F5" s="148"/>
      <c r="G5" s="148"/>
      <c r="H5" s="148"/>
      <c r="I5" s="149"/>
      <c r="J5" s="8"/>
      <c r="K5" s="8"/>
      <c r="L5" s="7"/>
      <c r="M5" s="7"/>
      <c r="N5" s="7"/>
      <c r="O5" s="7"/>
      <c r="P5" s="7"/>
      <c r="Q5" s="7"/>
      <c r="R5" s="7"/>
      <c r="S5" s="7"/>
      <c r="T5" s="7"/>
      <c r="U5" s="7"/>
      <c r="V5" s="7"/>
      <c r="W5" s="7"/>
      <c r="X5" s="7"/>
      <c r="Y5" s="7"/>
      <c r="Z5" s="7"/>
      <c r="AA5" s="7"/>
      <c r="AB5" s="7"/>
    </row>
    <row r="6" spans="2:28" ht="24" customHeight="1" x14ac:dyDescent="0.3">
      <c r="B6" s="150" t="s">
        <v>5</v>
      </c>
      <c r="C6" s="151"/>
      <c r="D6" s="151"/>
      <c r="E6" s="151"/>
      <c r="F6" s="151"/>
      <c r="G6" s="151"/>
      <c r="H6" s="151"/>
      <c r="I6" s="152"/>
      <c r="J6" s="8"/>
      <c r="K6" s="8"/>
      <c r="L6" s="7"/>
      <c r="M6" s="7"/>
      <c r="N6" s="7"/>
      <c r="O6" s="7"/>
      <c r="P6" s="7"/>
      <c r="Q6" s="7"/>
      <c r="R6" s="7"/>
      <c r="S6" s="7"/>
      <c r="T6" s="7"/>
      <c r="U6" s="7"/>
      <c r="V6" s="7"/>
      <c r="W6" s="7"/>
      <c r="X6" s="7"/>
      <c r="Y6" s="7"/>
      <c r="Z6" s="7"/>
      <c r="AA6" s="7"/>
      <c r="AB6" s="7"/>
    </row>
    <row r="7" spans="2:28" ht="24" customHeight="1" x14ac:dyDescent="0.3">
      <c r="B7" s="147" t="s">
        <v>6</v>
      </c>
      <c r="C7" s="148"/>
      <c r="D7" s="148"/>
      <c r="E7" s="148"/>
      <c r="F7" s="148"/>
      <c r="G7" s="148"/>
      <c r="H7" s="148"/>
      <c r="I7" s="149"/>
      <c r="J7" s="7"/>
      <c r="K7" s="7"/>
      <c r="L7" s="7"/>
      <c r="M7" s="7"/>
      <c r="N7" s="7"/>
      <c r="O7" s="7"/>
      <c r="P7" s="7"/>
      <c r="Q7" s="7"/>
      <c r="R7" s="7"/>
      <c r="S7" s="7"/>
      <c r="T7" s="7"/>
      <c r="U7" s="7"/>
      <c r="V7" s="7"/>
      <c r="W7" s="7"/>
      <c r="X7" s="7"/>
      <c r="Y7" s="7"/>
      <c r="Z7" s="7"/>
      <c r="AA7" s="7"/>
      <c r="AB7" s="7"/>
    </row>
    <row r="8" spans="2:28" ht="36.75" customHeight="1" x14ac:dyDescent="0.3">
      <c r="B8" s="44" t="s">
        <v>7</v>
      </c>
      <c r="C8" s="163" t="b">
        <v>0</v>
      </c>
      <c r="D8" s="164"/>
      <c r="E8" s="165" t="s">
        <v>8</v>
      </c>
      <c r="F8" s="166"/>
      <c r="G8" s="48" t="b">
        <v>0</v>
      </c>
      <c r="H8" s="64" t="s">
        <v>9</v>
      </c>
      <c r="I8" s="49" t="b">
        <v>1</v>
      </c>
      <c r="J8" s="7"/>
      <c r="K8" s="7"/>
      <c r="L8" s="7"/>
      <c r="M8" s="7"/>
      <c r="N8" s="7"/>
      <c r="O8" s="7"/>
      <c r="P8" s="7"/>
      <c r="Q8" s="7"/>
      <c r="R8" s="7"/>
      <c r="S8" s="7"/>
      <c r="T8" s="7"/>
      <c r="U8" s="7"/>
      <c r="V8" s="7"/>
      <c r="W8" s="7"/>
      <c r="X8" s="7"/>
      <c r="Y8" s="7"/>
      <c r="Z8" s="7"/>
      <c r="AA8" s="7"/>
      <c r="AB8" s="7"/>
    </row>
    <row r="9" spans="2:28" ht="9" customHeight="1" x14ac:dyDescent="0.3">
      <c r="B9" s="66"/>
      <c r="C9" s="63"/>
      <c r="D9" s="63"/>
      <c r="E9" s="17"/>
      <c r="F9" s="17"/>
      <c r="G9" s="174"/>
      <c r="H9" s="174"/>
      <c r="I9" s="63"/>
      <c r="J9" s="7"/>
      <c r="K9" s="7"/>
      <c r="L9" s="7"/>
      <c r="M9" s="7"/>
      <c r="N9" s="7"/>
      <c r="O9" s="7"/>
      <c r="P9" s="7"/>
      <c r="Q9" s="7"/>
      <c r="R9" s="7"/>
      <c r="S9" s="7"/>
      <c r="T9" s="7"/>
      <c r="U9" s="7"/>
      <c r="V9" s="7"/>
      <c r="W9" s="7"/>
      <c r="X9" s="7"/>
      <c r="Y9" s="7"/>
      <c r="Z9" s="7"/>
      <c r="AA9" s="7"/>
      <c r="AB9" s="7"/>
    </row>
    <row r="10" spans="2:28" ht="21" customHeight="1" x14ac:dyDescent="0.3">
      <c r="B10" s="157" t="s">
        <v>10</v>
      </c>
      <c r="C10" s="158"/>
      <c r="D10" s="159"/>
      <c r="E10" s="153" t="s">
        <v>11</v>
      </c>
      <c r="F10" s="153"/>
      <c r="G10" s="153"/>
      <c r="H10" s="153"/>
      <c r="I10" s="153"/>
      <c r="J10" s="7"/>
      <c r="K10" s="7"/>
      <c r="L10" s="7"/>
      <c r="M10" s="7"/>
      <c r="N10" s="7"/>
      <c r="O10" s="7"/>
      <c r="P10" s="7"/>
      <c r="Q10" s="7"/>
      <c r="R10" s="7"/>
      <c r="S10" s="7"/>
      <c r="T10" s="7"/>
      <c r="U10" s="7"/>
      <c r="V10" s="7"/>
      <c r="W10" s="7"/>
      <c r="X10" s="7"/>
      <c r="Y10" s="7"/>
      <c r="Z10" s="7"/>
      <c r="AA10" s="7"/>
      <c r="AB10" s="7"/>
    </row>
    <row r="11" spans="2:28" ht="21" customHeight="1" x14ac:dyDescent="0.3">
      <c r="B11" s="143">
        <v>1</v>
      </c>
      <c r="C11" s="136"/>
      <c r="D11" s="137"/>
      <c r="E11" s="173" t="s">
        <v>12</v>
      </c>
      <c r="F11" s="173"/>
      <c r="G11" s="173"/>
      <c r="H11" s="173"/>
      <c r="I11" s="173"/>
      <c r="J11" s="7"/>
      <c r="K11" s="7"/>
      <c r="L11" s="7"/>
      <c r="M11" s="7"/>
      <c r="N11" s="7"/>
      <c r="O11" s="7"/>
      <c r="P11" s="7"/>
      <c r="Q11" s="7"/>
      <c r="R11" s="7"/>
      <c r="S11" s="7"/>
      <c r="T11" s="7"/>
      <c r="U11" s="7"/>
      <c r="V11" s="7"/>
      <c r="W11" s="7"/>
      <c r="X11" s="7"/>
      <c r="Y11" s="7"/>
      <c r="Z11" s="7"/>
      <c r="AA11" s="7"/>
      <c r="AB11" s="7"/>
    </row>
    <row r="12" spans="2:28" ht="9" customHeight="1" x14ac:dyDescent="0.3">
      <c r="B12" s="66"/>
      <c r="C12" s="63"/>
      <c r="D12" s="63"/>
      <c r="E12" s="17"/>
      <c r="F12" s="17"/>
      <c r="G12" s="174"/>
      <c r="H12" s="174"/>
      <c r="I12" s="63"/>
      <c r="J12" s="7"/>
      <c r="K12" s="7"/>
      <c r="L12" s="7"/>
      <c r="M12" s="7"/>
      <c r="N12" s="7"/>
      <c r="O12" s="7"/>
      <c r="P12" s="7"/>
      <c r="Q12" s="7"/>
      <c r="R12" s="7"/>
      <c r="S12" s="7"/>
      <c r="T12" s="7"/>
      <c r="U12" s="7"/>
      <c r="V12" s="7"/>
      <c r="W12" s="7"/>
      <c r="X12" s="7"/>
      <c r="Y12" s="7"/>
      <c r="Z12" s="7"/>
      <c r="AA12" s="7"/>
      <c r="AB12" s="7"/>
    </row>
    <row r="13" spans="2:28" ht="19.5" customHeight="1" thickBot="1" x14ac:dyDescent="0.35">
      <c r="B13" s="171" t="s">
        <v>13</v>
      </c>
      <c r="C13" s="171"/>
      <c r="D13" s="171"/>
      <c r="E13" s="171"/>
      <c r="F13" s="171"/>
      <c r="G13" s="171"/>
      <c r="H13" s="171"/>
      <c r="I13" s="172"/>
      <c r="J13" s="7"/>
      <c r="K13" s="7"/>
      <c r="L13" s="7"/>
      <c r="M13" s="7"/>
      <c r="N13" s="7"/>
      <c r="O13" s="7"/>
      <c r="P13" s="7"/>
      <c r="Q13" s="7"/>
      <c r="R13" s="7"/>
      <c r="S13" s="7"/>
      <c r="T13" s="7"/>
      <c r="U13" s="7"/>
      <c r="V13" s="7"/>
      <c r="W13" s="7"/>
      <c r="X13" s="7"/>
      <c r="Y13" s="7"/>
      <c r="Z13" s="7"/>
      <c r="AA13" s="7"/>
      <c r="AB13" s="7"/>
    </row>
    <row r="14" spans="2:28" s="9" customFormat="1" ht="21" customHeight="1" x14ac:dyDescent="0.3">
      <c r="B14" s="157" t="s">
        <v>14</v>
      </c>
      <c r="C14" s="158"/>
      <c r="D14" s="159"/>
      <c r="E14" s="45" t="s">
        <v>15</v>
      </c>
      <c r="F14" s="167" t="s">
        <v>16</v>
      </c>
      <c r="G14" s="168"/>
      <c r="H14" s="153" t="s">
        <v>17</v>
      </c>
      <c r="I14" s="154"/>
    </row>
    <row r="15" spans="2:28" ht="18" customHeight="1" thickBot="1" x14ac:dyDescent="0.35">
      <c r="B15" s="160" t="s">
        <v>18</v>
      </c>
      <c r="C15" s="161"/>
      <c r="D15" s="162"/>
      <c r="E15" s="31" t="s">
        <v>19</v>
      </c>
      <c r="F15" s="169">
        <v>1030594222</v>
      </c>
      <c r="G15" s="170"/>
      <c r="H15" s="155">
        <v>3106192125</v>
      </c>
      <c r="I15" s="156"/>
      <c r="J15" s="7"/>
      <c r="K15" s="7"/>
      <c r="L15" s="7"/>
      <c r="M15" s="7"/>
      <c r="N15" s="7"/>
      <c r="O15" s="7"/>
      <c r="P15" s="7"/>
      <c r="Q15" s="7"/>
      <c r="R15" s="7"/>
      <c r="S15" s="7"/>
      <c r="T15" s="7"/>
      <c r="U15" s="7"/>
      <c r="V15" s="7"/>
      <c r="W15" s="7"/>
      <c r="X15" s="7"/>
      <c r="Y15" s="7"/>
      <c r="Z15" s="7"/>
      <c r="AA15" s="7"/>
      <c r="AB15" s="7"/>
    </row>
    <row r="16" spans="2:28" ht="18" customHeight="1" x14ac:dyDescent="0.3">
      <c r="B16" s="126" t="s">
        <v>20</v>
      </c>
      <c r="C16" s="127"/>
      <c r="D16" s="128"/>
      <c r="E16" s="129" t="s">
        <v>21</v>
      </c>
      <c r="F16" s="129"/>
      <c r="G16" s="129"/>
      <c r="H16" s="110" t="s">
        <v>22</v>
      </c>
      <c r="I16" s="111"/>
      <c r="J16" s="7"/>
      <c r="K16" s="7"/>
      <c r="L16" s="7"/>
      <c r="M16" s="7"/>
      <c r="N16" s="7"/>
      <c r="O16" s="7"/>
      <c r="P16" s="7"/>
      <c r="Q16" s="7"/>
      <c r="R16" s="7"/>
      <c r="S16" s="7"/>
      <c r="T16" s="7"/>
      <c r="U16" s="7"/>
      <c r="V16" s="7"/>
      <c r="W16" s="7"/>
      <c r="X16" s="7"/>
      <c r="Y16" s="7"/>
      <c r="Z16" s="7"/>
      <c r="AA16" s="7"/>
      <c r="AB16" s="7"/>
    </row>
    <row r="17" spans="2:28" ht="18" customHeight="1" x14ac:dyDescent="0.3">
      <c r="B17" s="135" t="s">
        <v>23</v>
      </c>
      <c r="C17" s="136"/>
      <c r="D17" s="137"/>
      <c r="E17" s="180" t="s">
        <v>24</v>
      </c>
      <c r="F17" s="181"/>
      <c r="G17" s="181"/>
      <c r="H17" s="175" t="s">
        <v>25</v>
      </c>
      <c r="I17" s="176"/>
      <c r="J17" s="7"/>
      <c r="K17" s="7"/>
      <c r="L17" s="7"/>
      <c r="M17" s="7"/>
      <c r="N17" s="7"/>
      <c r="O17" s="7"/>
      <c r="P17" s="7"/>
      <c r="Q17" s="7"/>
      <c r="R17" s="7"/>
      <c r="S17" s="7"/>
      <c r="T17" s="7"/>
      <c r="U17" s="7"/>
      <c r="V17" s="7"/>
      <c r="W17" s="7"/>
      <c r="X17" s="7"/>
      <c r="Y17" s="7"/>
      <c r="Z17" s="7"/>
      <c r="AA17" s="7"/>
      <c r="AB17" s="7"/>
    </row>
    <row r="18" spans="2:28" s="40" customFormat="1" ht="18" customHeight="1" x14ac:dyDescent="0.3">
      <c r="B18" s="157" t="s">
        <v>26</v>
      </c>
      <c r="C18" s="158"/>
      <c r="D18" s="159"/>
      <c r="E18" s="153" t="s">
        <v>27</v>
      </c>
      <c r="F18" s="153"/>
      <c r="G18" s="153"/>
      <c r="H18" s="153" t="s">
        <v>28</v>
      </c>
      <c r="I18" s="154"/>
      <c r="J18" s="7"/>
      <c r="K18" s="7"/>
      <c r="L18" s="7"/>
      <c r="M18" s="7"/>
      <c r="N18" s="7"/>
      <c r="O18" s="7"/>
      <c r="P18" s="7"/>
      <c r="Q18" s="7"/>
      <c r="R18" s="7"/>
      <c r="S18" s="7"/>
      <c r="T18" s="7"/>
      <c r="U18" s="7"/>
      <c r="V18" s="7"/>
      <c r="W18" s="7"/>
      <c r="X18" s="7"/>
      <c r="Y18" s="7"/>
      <c r="Z18" s="7"/>
      <c r="AA18" s="7"/>
      <c r="AB18" s="7"/>
    </row>
    <row r="19" spans="2:28" s="40" customFormat="1" ht="18" customHeight="1" x14ac:dyDescent="0.3">
      <c r="B19" s="177">
        <v>2996897</v>
      </c>
      <c r="C19" s="178"/>
      <c r="D19" s="179"/>
      <c r="E19" s="175" t="s">
        <v>29</v>
      </c>
      <c r="F19" s="175"/>
      <c r="G19" s="175"/>
      <c r="H19" s="175" t="s">
        <v>30</v>
      </c>
      <c r="I19" s="176"/>
      <c r="J19" s="7"/>
      <c r="K19" s="7"/>
      <c r="L19" s="7"/>
      <c r="M19" s="7"/>
      <c r="N19" s="7"/>
      <c r="O19" s="7"/>
      <c r="P19" s="7"/>
      <c r="Q19" s="7"/>
      <c r="R19" s="7"/>
      <c r="S19" s="7"/>
      <c r="T19" s="7"/>
      <c r="U19" s="7"/>
      <c r="V19" s="7"/>
      <c r="W19" s="7"/>
      <c r="X19" s="7"/>
      <c r="Y19" s="7"/>
      <c r="Z19" s="7"/>
      <c r="AA19" s="7"/>
      <c r="AB19" s="7"/>
    </row>
    <row r="20" spans="2:28" ht="43.5" customHeight="1" x14ac:dyDescent="0.3">
      <c r="B20" s="140" t="s">
        <v>31</v>
      </c>
      <c r="C20" s="141"/>
      <c r="D20" s="142"/>
      <c r="E20" s="138" t="s">
        <v>32</v>
      </c>
      <c r="F20" s="138"/>
      <c r="G20" s="138"/>
      <c r="H20" s="138" t="s">
        <v>33</v>
      </c>
      <c r="I20" s="139"/>
      <c r="J20" s="66"/>
      <c r="K20" s="66"/>
      <c r="L20" s="66"/>
      <c r="N20" s="66"/>
      <c r="O20" s="66"/>
      <c r="P20" s="66"/>
      <c r="Q20" s="66"/>
      <c r="R20" s="66"/>
      <c r="S20" s="66"/>
      <c r="T20" s="66"/>
      <c r="U20" s="66"/>
      <c r="V20" s="66"/>
      <c r="W20" s="66"/>
      <c r="X20" s="66"/>
      <c r="Y20" s="66"/>
      <c r="Z20" s="66"/>
      <c r="AA20" s="66"/>
    </row>
    <row r="21" spans="2:28" ht="18" customHeight="1" x14ac:dyDescent="0.3">
      <c r="B21" s="143" t="s">
        <v>34</v>
      </c>
      <c r="C21" s="136"/>
      <c r="D21" s="137"/>
      <c r="E21" s="155" t="s">
        <v>35</v>
      </c>
      <c r="F21" s="155"/>
      <c r="G21" s="155"/>
      <c r="H21" s="187" t="s">
        <v>36</v>
      </c>
      <c r="I21" s="188"/>
      <c r="J21" s="63"/>
      <c r="K21" s="63"/>
      <c r="L21" s="63"/>
      <c r="N21" s="63"/>
      <c r="O21" s="63"/>
      <c r="P21" s="63"/>
      <c r="Q21" s="63"/>
      <c r="R21" s="63"/>
      <c r="S21" s="63"/>
      <c r="T21" s="63"/>
      <c r="U21" s="63"/>
      <c r="V21" s="63"/>
      <c r="W21" s="63"/>
      <c r="X21" s="63"/>
      <c r="Y21" s="63"/>
      <c r="Z21" s="63"/>
      <c r="AA21" s="63"/>
    </row>
    <row r="22" spans="2:28" ht="9.75" customHeight="1" x14ac:dyDescent="0.3">
      <c r="B22" s="62"/>
      <c r="C22" s="62"/>
      <c r="D22" s="62"/>
      <c r="E22" s="27"/>
      <c r="F22" s="27"/>
      <c r="G22" s="118"/>
      <c r="H22" s="118"/>
      <c r="I22" s="62"/>
      <c r="J22" s="62"/>
      <c r="K22" s="62"/>
      <c r="L22" s="62"/>
      <c r="M22" s="62"/>
      <c r="N22" s="62"/>
      <c r="O22" s="62"/>
      <c r="P22" s="62"/>
      <c r="Q22" s="62"/>
      <c r="R22" s="62"/>
      <c r="S22" s="62"/>
      <c r="T22" s="62"/>
      <c r="U22" s="62"/>
      <c r="V22" s="62"/>
      <c r="W22" s="62"/>
      <c r="X22" s="62"/>
      <c r="Y22" s="62"/>
      <c r="Z22" s="62"/>
      <c r="AA22" s="62"/>
    </row>
    <row r="23" spans="2:28" ht="17.25" customHeight="1" x14ac:dyDescent="0.3">
      <c r="B23" s="182" t="s">
        <v>37</v>
      </c>
      <c r="C23" s="183"/>
      <c r="D23" s="183"/>
      <c r="E23" s="183"/>
      <c r="F23" s="183"/>
      <c r="G23" s="183"/>
      <c r="H23" s="183"/>
      <c r="I23" s="184"/>
      <c r="J23" s="62"/>
      <c r="K23" s="62"/>
      <c r="L23" s="62"/>
      <c r="M23" s="62"/>
      <c r="N23" s="62"/>
      <c r="O23" s="62"/>
      <c r="P23" s="62"/>
      <c r="Q23" s="62"/>
      <c r="R23" s="62"/>
      <c r="S23" s="62"/>
      <c r="T23" s="62"/>
      <c r="U23" s="62"/>
      <c r="V23" s="62"/>
      <c r="W23" s="62"/>
      <c r="X23" s="62"/>
      <c r="Y23" s="62"/>
      <c r="Z23" s="62"/>
      <c r="AA23" s="62"/>
    </row>
    <row r="24" spans="2:28" s="9" customFormat="1" ht="36.75" customHeight="1" x14ac:dyDescent="0.3">
      <c r="B24" s="185" t="s">
        <v>38</v>
      </c>
      <c r="C24" s="186"/>
      <c r="D24" s="186"/>
      <c r="E24" s="186"/>
      <c r="F24" s="121" t="s">
        <v>39</v>
      </c>
      <c r="G24" s="121"/>
      <c r="H24" s="186" t="s">
        <v>40</v>
      </c>
      <c r="I24" s="206"/>
      <c r="J24" s="63"/>
      <c r="K24" s="63"/>
      <c r="M24" s="66"/>
      <c r="N24" s="66"/>
      <c r="W24" s="66"/>
      <c r="X24" s="66"/>
      <c r="Y24" s="66"/>
      <c r="Z24" s="66"/>
      <c r="AA24" s="66"/>
      <c r="AB24" s="10"/>
    </row>
    <row r="25" spans="2:28" ht="25.5" customHeight="1" x14ac:dyDescent="0.3">
      <c r="B25" s="207" t="s">
        <v>41</v>
      </c>
      <c r="C25" s="189"/>
      <c r="D25" s="189"/>
      <c r="E25" s="189"/>
      <c r="F25" s="189" t="s">
        <v>42</v>
      </c>
      <c r="G25" s="189"/>
      <c r="H25" s="207" t="s">
        <v>43</v>
      </c>
      <c r="I25" s="189"/>
      <c r="J25" s="63"/>
      <c r="K25" s="63"/>
      <c r="M25" s="63"/>
      <c r="N25" s="63"/>
      <c r="W25" s="63"/>
      <c r="X25" s="63"/>
      <c r="Y25" s="63"/>
      <c r="Z25" s="63"/>
      <c r="AA25" s="63"/>
    </row>
    <row r="26" spans="2:28" ht="9.9" customHeight="1" x14ac:dyDescent="0.3">
      <c r="B26" s="62"/>
      <c r="C26" s="62"/>
      <c r="D26" s="62"/>
      <c r="E26" s="27"/>
      <c r="F26" s="27"/>
      <c r="G26" s="118"/>
      <c r="H26" s="118"/>
      <c r="I26" s="62"/>
      <c r="J26" s="62"/>
      <c r="K26" s="62"/>
      <c r="L26" s="62"/>
      <c r="M26" s="62"/>
      <c r="N26" s="62"/>
      <c r="O26" s="62"/>
      <c r="P26" s="62"/>
      <c r="Q26" s="62"/>
      <c r="R26" s="62"/>
      <c r="S26" s="62"/>
      <c r="T26" s="62"/>
      <c r="U26" s="62"/>
      <c r="V26" s="62"/>
      <c r="W26" s="62"/>
      <c r="X26" s="62"/>
      <c r="Y26" s="62"/>
      <c r="Z26" s="62"/>
      <c r="AA26" s="62"/>
    </row>
    <row r="27" spans="2:28" ht="18" customHeight="1" x14ac:dyDescent="0.3">
      <c r="B27" s="211" t="s">
        <v>44</v>
      </c>
      <c r="C27" s="212"/>
      <c r="D27" s="212"/>
      <c r="E27" s="212"/>
      <c r="F27" s="212"/>
      <c r="G27" s="212"/>
      <c r="H27" s="212"/>
      <c r="I27" s="213"/>
      <c r="J27" s="62"/>
      <c r="K27" s="62"/>
      <c r="L27" s="62"/>
      <c r="M27" s="62"/>
      <c r="N27" s="62"/>
      <c r="O27" s="62"/>
      <c r="P27" s="62"/>
      <c r="Q27" s="62"/>
      <c r="R27" s="62"/>
      <c r="S27" s="62"/>
      <c r="T27" s="62"/>
      <c r="U27" s="62"/>
      <c r="V27" s="62"/>
      <c r="W27" s="62"/>
      <c r="X27" s="62"/>
      <c r="Y27" s="62"/>
      <c r="Z27" s="62"/>
      <c r="AA27" s="62"/>
    </row>
    <row r="28" spans="2:28" s="9" customFormat="1" ht="45.75" customHeight="1" x14ac:dyDescent="0.3">
      <c r="B28" s="208" t="s">
        <v>45</v>
      </c>
      <c r="C28" s="186"/>
      <c r="D28" s="186"/>
      <c r="E28" s="121" t="s">
        <v>46</v>
      </c>
      <c r="F28" s="121"/>
      <c r="G28" s="65" t="s">
        <v>47</v>
      </c>
      <c r="H28" s="186" t="s">
        <v>48</v>
      </c>
      <c r="I28" s="210"/>
      <c r="J28" s="66"/>
      <c r="N28" s="66"/>
      <c r="O28" s="66"/>
      <c r="Q28" s="66"/>
      <c r="R28" s="66"/>
      <c r="S28" s="66"/>
      <c r="T28" s="66"/>
      <c r="V28" s="66"/>
      <c r="W28" s="66"/>
      <c r="X28" s="66"/>
      <c r="Y28" s="66"/>
      <c r="Z28" s="66"/>
      <c r="AA28" s="66"/>
      <c r="AB28" s="10"/>
    </row>
    <row r="29" spans="2:28" ht="24" customHeight="1" thickBot="1" x14ac:dyDescent="0.35">
      <c r="B29" s="209" t="s">
        <v>49</v>
      </c>
      <c r="C29" s="122"/>
      <c r="D29" s="122"/>
      <c r="E29" s="122" t="s">
        <v>50</v>
      </c>
      <c r="F29" s="122"/>
      <c r="G29" s="43">
        <v>3124117048</v>
      </c>
      <c r="H29" s="119" t="s">
        <v>51</v>
      </c>
      <c r="I29" s="120"/>
      <c r="J29" s="63"/>
      <c r="N29" s="63"/>
      <c r="O29" s="63"/>
      <c r="Q29" s="63"/>
      <c r="R29" s="63"/>
      <c r="S29" s="63"/>
      <c r="T29" s="63"/>
      <c r="V29" s="63"/>
      <c r="W29" s="63"/>
      <c r="X29" s="63"/>
      <c r="Y29" s="63"/>
      <c r="Z29" s="63"/>
      <c r="AA29" s="63"/>
    </row>
    <row r="30" spans="2:28" ht="8.25" customHeight="1" x14ac:dyDescent="0.3">
      <c r="B30" s="62"/>
      <c r="C30" s="62"/>
      <c r="D30" s="62"/>
      <c r="E30" s="27"/>
      <c r="F30" s="27"/>
      <c r="G30" s="118"/>
      <c r="H30" s="118"/>
      <c r="I30" s="62"/>
      <c r="J30" s="62"/>
      <c r="K30" s="62"/>
      <c r="L30" s="62"/>
      <c r="M30" s="62"/>
      <c r="N30" s="62"/>
      <c r="O30" s="62"/>
      <c r="P30" s="62"/>
      <c r="Q30" s="62"/>
      <c r="R30" s="62"/>
      <c r="S30" s="62"/>
      <c r="T30" s="62"/>
      <c r="U30" s="62"/>
      <c r="V30" s="62"/>
      <c r="W30" s="62"/>
      <c r="X30" s="62"/>
      <c r="Y30" s="62"/>
      <c r="Z30" s="62"/>
      <c r="AA30" s="62"/>
    </row>
    <row r="31" spans="2:28" ht="18" customHeight="1" x14ac:dyDescent="0.3">
      <c r="B31" s="182" t="s">
        <v>52</v>
      </c>
      <c r="C31" s="183"/>
      <c r="D31" s="183"/>
      <c r="E31" s="183"/>
      <c r="F31" s="183"/>
      <c r="G31" s="183"/>
      <c r="H31" s="183"/>
      <c r="I31" s="184"/>
      <c r="J31" s="7"/>
      <c r="K31" s="7"/>
      <c r="L31" s="7"/>
      <c r="M31" s="7"/>
      <c r="N31" s="7"/>
      <c r="O31" s="7"/>
      <c r="P31" s="7"/>
      <c r="Q31" s="7"/>
      <c r="R31" s="7"/>
      <c r="S31" s="7"/>
      <c r="T31" s="7"/>
      <c r="U31" s="7"/>
      <c r="V31" s="7"/>
      <c r="W31" s="7"/>
      <c r="X31" s="7"/>
      <c r="Y31" s="7"/>
      <c r="Z31" s="7"/>
      <c r="AA31" s="7"/>
      <c r="AB31" s="7"/>
    </row>
    <row r="32" spans="2:28" ht="19.5" customHeight="1" x14ac:dyDescent="0.3">
      <c r="B32" s="123" t="s">
        <v>53</v>
      </c>
      <c r="C32" s="124"/>
      <c r="D32" s="124"/>
      <c r="E32" s="124"/>
      <c r="F32" s="125"/>
      <c r="G32" s="245" t="s">
        <v>54</v>
      </c>
      <c r="H32" s="124"/>
      <c r="I32" s="246"/>
      <c r="J32" s="7"/>
      <c r="K32" s="7"/>
      <c r="L32" s="7"/>
      <c r="M32" s="7"/>
      <c r="N32" s="7"/>
      <c r="O32" s="7"/>
      <c r="P32" s="7"/>
      <c r="Q32" s="7"/>
      <c r="R32" s="7"/>
      <c r="S32" s="7"/>
      <c r="T32" s="7"/>
      <c r="U32" s="7"/>
      <c r="V32" s="7"/>
      <c r="W32" s="7"/>
      <c r="X32" s="7"/>
      <c r="Y32" s="7"/>
      <c r="Z32" s="7"/>
      <c r="AA32" s="7"/>
      <c r="AB32" s="7"/>
    </row>
    <row r="33" spans="1:28" ht="30" customHeight="1" x14ac:dyDescent="0.3">
      <c r="B33" s="242" t="s">
        <v>55</v>
      </c>
      <c r="C33" s="243"/>
      <c r="D33" s="243"/>
      <c r="E33" s="243"/>
      <c r="F33" s="244"/>
      <c r="G33" s="247" t="s">
        <v>56</v>
      </c>
      <c r="H33" s="243"/>
      <c r="I33" s="248"/>
      <c r="J33" s="7"/>
      <c r="K33" s="7"/>
      <c r="L33" s="7"/>
      <c r="M33" s="7"/>
      <c r="N33" s="7"/>
      <c r="O33" s="7"/>
      <c r="P33" s="7"/>
      <c r="Q33" s="7"/>
      <c r="R33" s="7"/>
      <c r="S33" s="7"/>
      <c r="T33" s="7"/>
      <c r="U33" s="7"/>
      <c r="V33" s="7"/>
      <c r="W33" s="7"/>
      <c r="X33" s="7"/>
      <c r="Y33" s="7"/>
      <c r="Z33" s="7"/>
      <c r="AA33" s="7"/>
      <c r="AB33" s="7"/>
    </row>
    <row r="34" spans="1:28" ht="9.9" customHeight="1" x14ac:dyDescent="0.3">
      <c r="B34" s="62"/>
      <c r="C34" s="62"/>
      <c r="D34" s="62"/>
      <c r="E34" s="27"/>
      <c r="F34" s="27"/>
      <c r="G34" s="118"/>
      <c r="H34" s="118"/>
      <c r="I34" s="62"/>
      <c r="J34" s="62"/>
      <c r="K34" s="62"/>
      <c r="L34" s="62"/>
      <c r="M34" s="62"/>
      <c r="N34" s="62"/>
      <c r="O34" s="62"/>
      <c r="P34" s="62"/>
      <c r="Q34" s="62"/>
      <c r="R34" s="62"/>
      <c r="S34" s="62"/>
      <c r="T34" s="62"/>
      <c r="U34" s="62"/>
      <c r="V34" s="62"/>
      <c r="W34" s="62"/>
      <c r="X34" s="62"/>
      <c r="Y34" s="62"/>
      <c r="Z34" s="62"/>
      <c r="AA34" s="62"/>
    </row>
    <row r="35" spans="1:28" ht="18" customHeight="1" x14ac:dyDescent="0.3">
      <c r="B35" s="198" t="s">
        <v>57</v>
      </c>
      <c r="C35" s="199"/>
      <c r="D35" s="199"/>
      <c r="E35" s="199"/>
      <c r="F35" s="199"/>
      <c r="G35" s="199"/>
      <c r="H35" s="199"/>
      <c r="I35" s="200"/>
      <c r="J35" s="33"/>
      <c r="K35" s="14"/>
      <c r="L35" s="14"/>
      <c r="M35" s="15"/>
      <c r="N35" s="15"/>
      <c r="O35" s="15"/>
      <c r="P35" s="15"/>
      <c r="Q35" s="15"/>
      <c r="R35" s="15"/>
      <c r="S35" s="15"/>
      <c r="T35" s="15"/>
      <c r="U35" s="15"/>
      <c r="V35" s="15"/>
      <c r="W35" s="15"/>
      <c r="X35" s="15"/>
      <c r="Y35" s="15"/>
      <c r="Z35" s="15"/>
      <c r="AA35" s="15"/>
    </row>
    <row r="36" spans="1:28" ht="30" customHeight="1" x14ac:dyDescent="0.3">
      <c r="B36" s="35" t="s">
        <v>58</v>
      </c>
      <c r="C36" s="203" t="s">
        <v>59</v>
      </c>
      <c r="D36" s="204"/>
      <c r="E36" s="204"/>
      <c r="F36" s="205"/>
      <c r="G36" s="35" t="s">
        <v>58</v>
      </c>
      <c r="H36" s="201" t="s">
        <v>60</v>
      </c>
      <c r="I36" s="202"/>
      <c r="J36" s="34"/>
      <c r="K36" s="14"/>
      <c r="L36" s="14"/>
      <c r="M36" s="15"/>
      <c r="N36" s="15"/>
      <c r="O36" s="15"/>
      <c r="P36" s="15"/>
      <c r="Q36" s="15"/>
      <c r="R36" s="15"/>
      <c r="S36" s="15"/>
      <c r="T36" s="15"/>
      <c r="U36" s="15"/>
      <c r="V36" s="15"/>
      <c r="W36" s="15"/>
      <c r="X36" s="15"/>
      <c r="Y36" s="15"/>
      <c r="Z36" s="15"/>
      <c r="AA36" s="15"/>
    </row>
    <row r="37" spans="1:28" s="11" customFormat="1" ht="14.25" customHeight="1" x14ac:dyDescent="0.3">
      <c r="B37" s="192" t="s">
        <v>61</v>
      </c>
      <c r="C37" s="220"/>
      <c r="D37" s="221"/>
      <c r="E37" s="221"/>
      <c r="F37" s="222"/>
      <c r="G37" s="192" t="s">
        <v>62</v>
      </c>
      <c r="H37" s="236"/>
      <c r="I37" s="237"/>
      <c r="J37" s="33"/>
      <c r="K37" s="66"/>
      <c r="L37" s="63"/>
      <c r="M37" s="63"/>
      <c r="N37" s="63"/>
      <c r="O37" s="63"/>
      <c r="P37" s="63"/>
      <c r="Q37" s="63"/>
      <c r="R37" s="63"/>
      <c r="S37" s="66"/>
      <c r="T37" s="66"/>
      <c r="U37" s="63"/>
      <c r="V37" s="63"/>
      <c r="W37" s="63"/>
      <c r="X37" s="63"/>
      <c r="AB37" s="12"/>
    </row>
    <row r="38" spans="1:28" s="11" customFormat="1" ht="14.25" customHeight="1" x14ac:dyDescent="0.3">
      <c r="B38" s="240"/>
      <c r="C38" s="223"/>
      <c r="D38" s="118"/>
      <c r="E38" s="118"/>
      <c r="F38" s="224"/>
      <c r="G38" s="217"/>
      <c r="H38" s="238"/>
      <c r="I38" s="239"/>
      <c r="J38" s="33"/>
      <c r="K38" s="66"/>
      <c r="L38" s="63"/>
      <c r="M38" s="63"/>
      <c r="N38" s="63"/>
      <c r="P38" s="63"/>
      <c r="Q38" s="63"/>
      <c r="R38" s="63"/>
      <c r="S38" s="66"/>
      <c r="T38" s="66"/>
      <c r="U38" s="63"/>
      <c r="V38" s="63"/>
      <c r="W38" s="63"/>
      <c r="X38" s="63"/>
      <c r="AB38" s="12"/>
    </row>
    <row r="39" spans="1:28" s="11" customFormat="1" ht="14.25" customHeight="1" x14ac:dyDescent="0.3">
      <c r="B39" s="240"/>
      <c r="C39" s="223"/>
      <c r="D39" s="118"/>
      <c r="E39" s="118"/>
      <c r="F39" s="224"/>
      <c r="G39" s="192" t="s">
        <v>63</v>
      </c>
      <c r="H39" s="159" t="s">
        <v>64</v>
      </c>
      <c r="I39" s="154"/>
      <c r="J39" s="33"/>
      <c r="K39" s="66"/>
      <c r="L39" s="63"/>
      <c r="M39" s="63"/>
      <c r="N39" s="63"/>
      <c r="O39" s="63"/>
      <c r="P39" s="63"/>
      <c r="Q39" s="63"/>
      <c r="R39" s="63"/>
      <c r="S39" s="66"/>
      <c r="T39" s="66"/>
      <c r="U39" s="63"/>
      <c r="V39" s="63"/>
      <c r="W39" s="63"/>
      <c r="X39" s="63"/>
      <c r="AB39" s="12"/>
    </row>
    <row r="40" spans="1:28" s="11" customFormat="1" ht="20.25" customHeight="1" x14ac:dyDescent="0.3">
      <c r="B40" s="241"/>
      <c r="C40" s="225"/>
      <c r="D40" s="226"/>
      <c r="E40" s="226"/>
      <c r="F40" s="227"/>
      <c r="G40" s="217"/>
      <c r="H40" s="179"/>
      <c r="I40" s="176"/>
      <c r="J40" s="33"/>
      <c r="K40" s="66"/>
      <c r="L40" s="63"/>
      <c r="M40" s="63"/>
      <c r="N40" s="63"/>
      <c r="O40" s="63"/>
      <c r="P40" s="63"/>
      <c r="Q40" s="63"/>
      <c r="R40" s="63"/>
      <c r="S40" s="66"/>
      <c r="T40" s="66"/>
      <c r="U40" s="63"/>
      <c r="V40" s="63"/>
      <c r="W40" s="63"/>
      <c r="X40" s="63"/>
      <c r="AB40" s="12"/>
    </row>
    <row r="41" spans="1:28" s="11" customFormat="1" ht="16.5" customHeight="1" x14ac:dyDescent="0.3">
      <c r="B41" s="234" t="s">
        <v>65</v>
      </c>
      <c r="C41" s="228"/>
      <c r="D41" s="229"/>
      <c r="E41" s="229"/>
      <c r="F41" s="230"/>
      <c r="G41" s="192" t="s">
        <v>66</v>
      </c>
      <c r="H41" s="194"/>
      <c r="I41" s="195"/>
      <c r="J41" s="46"/>
      <c r="K41" s="66"/>
      <c r="L41" s="59"/>
      <c r="M41" s="13"/>
      <c r="N41" s="13"/>
      <c r="O41" s="13"/>
      <c r="P41" s="13"/>
      <c r="Q41" s="13"/>
      <c r="R41" s="63"/>
      <c r="S41" s="59"/>
      <c r="T41" s="59"/>
      <c r="U41" s="13"/>
      <c r="V41" s="13"/>
      <c r="W41" s="13"/>
      <c r="X41" s="63"/>
      <c r="Y41" s="59"/>
      <c r="Z41" s="59"/>
      <c r="AA41" s="62"/>
      <c r="AB41" s="12"/>
    </row>
    <row r="42" spans="1:28" s="32" customFormat="1" ht="16.5" customHeight="1" x14ac:dyDescent="0.3">
      <c r="A42" s="11"/>
      <c r="B42" s="235"/>
      <c r="C42" s="231"/>
      <c r="D42" s="232"/>
      <c r="E42" s="232"/>
      <c r="F42" s="233"/>
      <c r="G42" s="193"/>
      <c r="H42" s="196"/>
      <c r="I42" s="197"/>
      <c r="J42" s="46"/>
      <c r="K42" s="66"/>
      <c r="L42" s="59"/>
      <c r="M42" s="13"/>
      <c r="N42" s="13"/>
      <c r="O42" s="13"/>
      <c r="P42" s="13"/>
      <c r="Q42" s="13"/>
      <c r="R42" s="63"/>
      <c r="S42" s="59"/>
      <c r="T42" s="59"/>
      <c r="U42" s="13"/>
      <c r="V42" s="13"/>
      <c r="W42" s="13"/>
      <c r="X42" s="63"/>
      <c r="Y42" s="59"/>
      <c r="Z42" s="59"/>
      <c r="AA42" s="62"/>
      <c r="AB42" s="12"/>
    </row>
    <row r="43" spans="1:28" s="32" customFormat="1" ht="13.5" customHeight="1" x14ac:dyDescent="0.3">
      <c r="A43" s="11"/>
      <c r="B43" s="36"/>
      <c r="C43" s="67"/>
      <c r="D43" s="67"/>
      <c r="E43" s="67"/>
      <c r="F43" s="67"/>
      <c r="G43" s="218"/>
      <c r="H43" s="219"/>
      <c r="I43" s="67"/>
      <c r="J43" s="46"/>
      <c r="K43" s="66"/>
      <c r="L43" s="59"/>
      <c r="M43" s="13"/>
      <c r="N43" s="13"/>
      <c r="O43" s="13"/>
      <c r="P43" s="13"/>
      <c r="Q43" s="13"/>
      <c r="R43" s="63"/>
      <c r="S43" s="59"/>
      <c r="T43" s="59"/>
      <c r="U43" s="13"/>
      <c r="V43" s="13"/>
      <c r="W43" s="13"/>
      <c r="X43" s="63"/>
      <c r="Y43" s="59"/>
      <c r="Z43" s="59"/>
      <c r="AA43" s="62"/>
      <c r="AB43" s="12"/>
    </row>
    <row r="44" spans="1:28" s="11" customFormat="1" ht="16.5" customHeight="1" x14ac:dyDescent="0.3">
      <c r="B44" s="215" t="s">
        <v>67</v>
      </c>
      <c r="C44" s="215"/>
      <c r="D44" s="215"/>
      <c r="E44" s="215"/>
      <c r="F44" s="215"/>
      <c r="G44" s="215"/>
      <c r="H44" s="215"/>
      <c r="I44" s="216"/>
      <c r="J44" s="66"/>
      <c r="K44" s="66"/>
      <c r="L44" s="59"/>
      <c r="M44" s="13"/>
      <c r="N44" s="13"/>
      <c r="O44" s="13"/>
      <c r="P44" s="13"/>
      <c r="Q44" s="13"/>
      <c r="R44" s="63"/>
      <c r="S44" s="59"/>
      <c r="T44" s="59"/>
      <c r="U44" s="13"/>
      <c r="V44" s="13"/>
      <c r="W44" s="13"/>
      <c r="X44" s="63"/>
      <c r="Y44" s="59"/>
      <c r="Z44" s="59"/>
      <c r="AA44" s="62"/>
      <c r="AB44" s="12"/>
    </row>
    <row r="45" spans="1:28" ht="68.25" customHeight="1" x14ac:dyDescent="0.3">
      <c r="B45" s="133" t="s">
        <v>68</v>
      </c>
      <c r="C45" s="113"/>
      <c r="D45" s="112" t="s">
        <v>69</v>
      </c>
      <c r="E45" s="113"/>
      <c r="F45" s="116" t="s">
        <v>70</v>
      </c>
      <c r="G45" s="116" t="s">
        <v>71</v>
      </c>
      <c r="H45" s="130" t="s">
        <v>72</v>
      </c>
      <c r="I45" s="190" t="s">
        <v>73</v>
      </c>
      <c r="J45" s="66"/>
      <c r="K45" s="66"/>
      <c r="L45" s="66"/>
      <c r="M45" s="66"/>
      <c r="N45" s="66"/>
      <c r="O45" s="66"/>
      <c r="P45" s="66"/>
      <c r="Q45" s="66"/>
      <c r="R45" s="66"/>
      <c r="S45" s="66"/>
      <c r="T45" s="66"/>
      <c r="U45" s="66"/>
      <c r="V45" s="66"/>
      <c r="W45" s="66"/>
      <c r="X45" s="66"/>
      <c r="Y45" s="66"/>
      <c r="Z45" s="66"/>
      <c r="AA45" s="66"/>
    </row>
    <row r="46" spans="1:28" ht="24" customHeight="1" x14ac:dyDescent="0.3">
      <c r="B46" s="134"/>
      <c r="C46" s="115"/>
      <c r="D46" s="114"/>
      <c r="E46" s="115"/>
      <c r="F46" s="117"/>
      <c r="G46" s="132"/>
      <c r="H46" s="131"/>
      <c r="I46" s="191"/>
      <c r="J46" s="66"/>
      <c r="K46" s="66"/>
      <c r="L46" s="66"/>
      <c r="M46" s="66"/>
      <c r="N46" s="66"/>
      <c r="O46" s="66"/>
      <c r="P46" s="66"/>
      <c r="Q46" s="66"/>
      <c r="R46" s="66"/>
      <c r="S46" s="66"/>
      <c r="T46" s="66"/>
      <c r="U46" s="66"/>
      <c r="V46" s="66"/>
      <c r="W46" s="66"/>
      <c r="X46" s="66"/>
      <c r="Y46" s="66"/>
      <c r="Z46" s="66"/>
      <c r="AA46" s="66"/>
    </row>
    <row r="47" spans="1:28" ht="53.4" customHeight="1" x14ac:dyDescent="0.3">
      <c r="B47" s="106" t="s">
        <v>179</v>
      </c>
      <c r="C47" s="297"/>
      <c r="D47" s="73" t="s">
        <v>74</v>
      </c>
      <c r="E47" s="74"/>
      <c r="F47" s="108">
        <v>46210</v>
      </c>
      <c r="G47" s="109">
        <v>46217</v>
      </c>
      <c r="H47" s="107" t="s">
        <v>180</v>
      </c>
      <c r="I47" s="298" t="s">
        <v>181</v>
      </c>
      <c r="J47" s="63"/>
      <c r="K47" s="66"/>
      <c r="L47" s="66"/>
      <c r="M47" s="66"/>
      <c r="N47" s="66"/>
      <c r="O47" s="66"/>
      <c r="P47" s="66"/>
      <c r="Q47" s="66"/>
      <c r="R47" s="66"/>
      <c r="S47" s="66"/>
      <c r="T47" s="66"/>
      <c r="U47" s="66"/>
      <c r="V47" s="66"/>
      <c r="W47" s="66"/>
      <c r="X47" s="66"/>
      <c r="Y47" s="66"/>
      <c r="Z47" s="66"/>
      <c r="AA47" s="66"/>
    </row>
    <row r="48" spans="1:28" ht="63.75" customHeight="1" x14ac:dyDescent="0.3">
      <c r="B48" s="299"/>
      <c r="C48" s="300"/>
      <c r="D48" s="75"/>
      <c r="E48" s="76"/>
      <c r="F48" s="301"/>
      <c r="G48" s="301"/>
      <c r="H48" s="301"/>
      <c r="I48" s="302"/>
      <c r="J48" s="63"/>
      <c r="K48" s="66"/>
      <c r="L48" s="66"/>
      <c r="M48" s="66"/>
      <c r="N48" s="66"/>
      <c r="O48" s="66"/>
      <c r="P48" s="66"/>
      <c r="Q48" s="66"/>
      <c r="R48" s="66"/>
      <c r="S48" s="66"/>
      <c r="T48" s="66"/>
      <c r="U48" s="66"/>
      <c r="V48" s="66"/>
      <c r="W48" s="66"/>
      <c r="X48" s="66"/>
      <c r="Y48" s="66"/>
      <c r="Z48" s="66"/>
      <c r="AA48" s="66"/>
    </row>
    <row r="49" spans="2:28" ht="32.1" customHeight="1" x14ac:dyDescent="0.3">
      <c r="B49" s="106" t="s">
        <v>182</v>
      </c>
      <c r="C49" s="297"/>
      <c r="D49" s="312" t="s">
        <v>75</v>
      </c>
      <c r="E49" s="313"/>
      <c r="F49" s="108">
        <v>46217</v>
      </c>
      <c r="G49" s="109">
        <v>46224</v>
      </c>
      <c r="H49" s="107" t="s">
        <v>183</v>
      </c>
      <c r="I49" s="303" t="s">
        <v>184</v>
      </c>
      <c r="J49" s="63"/>
      <c r="K49" s="66"/>
      <c r="L49" s="66"/>
      <c r="M49" s="66"/>
      <c r="N49" s="66"/>
      <c r="O49" s="66"/>
      <c r="P49" s="66"/>
      <c r="Q49" s="66"/>
      <c r="R49" s="66"/>
      <c r="S49" s="66"/>
      <c r="T49" s="66"/>
      <c r="U49" s="66"/>
      <c r="V49" s="66"/>
      <c r="W49" s="66"/>
      <c r="X49" s="66"/>
      <c r="Y49" s="66"/>
      <c r="Z49" s="66"/>
      <c r="AA49" s="66"/>
    </row>
    <row r="50" spans="2:28" ht="74.25" customHeight="1" x14ac:dyDescent="0.3">
      <c r="B50" s="299"/>
      <c r="C50" s="300"/>
      <c r="D50" s="314"/>
      <c r="E50" s="315"/>
      <c r="F50" s="301"/>
      <c r="G50" s="301"/>
      <c r="H50" s="301"/>
      <c r="I50" s="304"/>
      <c r="J50" s="63"/>
      <c r="K50" s="66"/>
      <c r="L50" s="66"/>
      <c r="M50" s="66"/>
      <c r="N50" s="66"/>
      <c r="O50" s="66"/>
      <c r="P50" s="66"/>
      <c r="Q50" s="66"/>
      <c r="R50" s="66"/>
      <c r="S50" s="66"/>
      <c r="T50" s="66"/>
      <c r="U50" s="66"/>
      <c r="V50" s="66"/>
      <c r="W50" s="66"/>
      <c r="X50" s="66"/>
      <c r="Y50" s="66"/>
      <c r="Z50" s="66"/>
      <c r="AA50" s="66"/>
    </row>
    <row r="51" spans="2:28" ht="18.75" customHeight="1" x14ac:dyDescent="0.3">
      <c r="B51" s="106" t="s">
        <v>185</v>
      </c>
      <c r="C51" s="297"/>
      <c r="D51" s="312" t="s">
        <v>76</v>
      </c>
      <c r="E51" s="313"/>
      <c r="F51" s="108">
        <v>46224</v>
      </c>
      <c r="G51" s="109">
        <v>46231</v>
      </c>
      <c r="H51" s="107" t="s">
        <v>186</v>
      </c>
      <c r="I51" s="303" t="s">
        <v>187</v>
      </c>
      <c r="J51" s="63"/>
      <c r="K51" s="66"/>
      <c r="L51" s="66"/>
      <c r="M51" s="66"/>
      <c r="N51" s="66"/>
      <c r="O51" s="66"/>
      <c r="P51" s="66"/>
      <c r="Q51" s="66"/>
      <c r="R51" s="66"/>
      <c r="S51" s="66"/>
      <c r="T51" s="66"/>
      <c r="U51" s="66"/>
      <c r="V51" s="66"/>
      <c r="W51" s="66"/>
      <c r="X51" s="66"/>
      <c r="Y51" s="66"/>
      <c r="Z51" s="66"/>
      <c r="AA51" s="66"/>
    </row>
    <row r="52" spans="2:28" ht="87.75" customHeight="1" x14ac:dyDescent="0.3">
      <c r="B52" s="299"/>
      <c r="C52" s="300"/>
      <c r="D52" s="314"/>
      <c r="E52" s="315"/>
      <c r="F52" s="301"/>
      <c r="G52" s="301"/>
      <c r="H52" s="301"/>
      <c r="I52" s="304"/>
      <c r="J52" s="63"/>
      <c r="K52" s="66"/>
      <c r="L52" s="66"/>
      <c r="M52" s="66"/>
      <c r="N52" s="66"/>
      <c r="O52" s="66"/>
      <c r="P52" s="66"/>
      <c r="Q52" s="66"/>
      <c r="R52" s="66"/>
      <c r="S52" s="66"/>
      <c r="T52" s="66"/>
      <c r="U52" s="66"/>
      <c r="V52" s="66"/>
      <c r="W52" s="66"/>
      <c r="X52" s="66"/>
      <c r="Y52" s="66"/>
      <c r="Z52" s="66"/>
      <c r="AA52" s="66"/>
    </row>
    <row r="53" spans="2:28" ht="18.75" customHeight="1" x14ac:dyDescent="0.3">
      <c r="B53" s="106" t="s">
        <v>188</v>
      </c>
      <c r="C53" s="297"/>
      <c r="D53" s="312" t="s">
        <v>76</v>
      </c>
      <c r="E53" s="313"/>
      <c r="F53" s="108">
        <v>46231</v>
      </c>
      <c r="G53" s="109">
        <v>46238</v>
      </c>
      <c r="H53" s="107" t="s">
        <v>189</v>
      </c>
      <c r="I53" s="305" t="s">
        <v>190</v>
      </c>
      <c r="J53" s="63"/>
      <c r="K53" s="66"/>
      <c r="L53" s="66"/>
      <c r="M53" s="66"/>
      <c r="N53" s="66"/>
      <c r="O53" s="66"/>
      <c r="P53" s="66"/>
      <c r="Q53" s="66"/>
      <c r="R53" s="66"/>
      <c r="S53" s="66"/>
      <c r="T53" s="66"/>
      <c r="U53" s="66"/>
      <c r="V53" s="66"/>
      <c r="W53" s="66"/>
      <c r="X53" s="66"/>
      <c r="Y53" s="66"/>
      <c r="Z53" s="66"/>
      <c r="AA53" s="66"/>
    </row>
    <row r="54" spans="2:28" ht="95.25" customHeight="1" x14ac:dyDescent="0.3">
      <c r="B54" s="299"/>
      <c r="C54" s="300"/>
      <c r="D54" s="317"/>
      <c r="E54" s="316"/>
      <c r="F54" s="301"/>
      <c r="G54" s="301"/>
      <c r="H54" s="301"/>
      <c r="I54" s="302"/>
      <c r="J54" s="63"/>
      <c r="K54" s="66"/>
      <c r="L54" s="66"/>
      <c r="M54" s="66"/>
      <c r="N54" s="66"/>
      <c r="O54" s="66"/>
      <c r="P54" s="66"/>
      <c r="Q54" s="66"/>
      <c r="R54" s="66"/>
      <c r="S54" s="66"/>
      <c r="T54" s="66"/>
      <c r="U54" s="66"/>
      <c r="V54" s="66"/>
      <c r="W54" s="66"/>
      <c r="X54" s="66"/>
      <c r="Y54" s="66"/>
      <c r="Z54" s="66"/>
      <c r="AA54" s="66"/>
    </row>
    <row r="55" spans="2:28" ht="15" customHeight="1" x14ac:dyDescent="0.3">
      <c r="B55" s="105" t="s">
        <v>191</v>
      </c>
      <c r="C55" s="306"/>
      <c r="D55" s="312" t="s">
        <v>194</v>
      </c>
      <c r="E55" s="313"/>
      <c r="F55" s="70">
        <v>46238</v>
      </c>
      <c r="G55" s="71">
        <v>46245</v>
      </c>
      <c r="H55" s="72" t="s">
        <v>192</v>
      </c>
      <c r="I55" s="307" t="s">
        <v>193</v>
      </c>
      <c r="J55" s="63"/>
      <c r="K55" s="66"/>
      <c r="L55" s="66"/>
      <c r="M55" s="66"/>
      <c r="N55" s="66"/>
      <c r="O55" s="66"/>
      <c r="P55" s="66"/>
      <c r="Q55" s="66"/>
      <c r="R55" s="66"/>
      <c r="S55" s="66"/>
      <c r="T55" s="66"/>
      <c r="U55" s="66"/>
      <c r="V55" s="66"/>
      <c r="W55" s="66"/>
      <c r="X55" s="66"/>
      <c r="Y55" s="66"/>
      <c r="Z55" s="66"/>
      <c r="AA55" s="66"/>
    </row>
    <row r="56" spans="2:28" ht="99" customHeight="1" x14ac:dyDescent="0.3">
      <c r="B56" s="308"/>
      <c r="C56" s="309"/>
      <c r="D56" s="317"/>
      <c r="E56" s="316"/>
      <c r="F56" s="310"/>
      <c r="G56" s="310"/>
      <c r="H56" s="310"/>
      <c r="I56" s="311"/>
      <c r="J56" s="63"/>
      <c r="K56" s="66"/>
      <c r="L56" s="66"/>
      <c r="M56" s="66"/>
      <c r="N56" s="66"/>
      <c r="O56" s="66"/>
      <c r="P56" s="66"/>
      <c r="Q56" s="66"/>
      <c r="R56" s="66"/>
      <c r="S56" s="66"/>
      <c r="T56" s="66"/>
      <c r="U56" s="66"/>
      <c r="V56" s="66"/>
      <c r="W56" s="66"/>
      <c r="X56" s="66"/>
      <c r="Y56" s="66"/>
      <c r="Z56" s="66"/>
      <c r="AA56" s="66"/>
    </row>
    <row r="57" spans="2:28" ht="15" customHeight="1" thickBot="1" x14ac:dyDescent="0.35">
      <c r="B57" s="69"/>
      <c r="C57" s="69"/>
      <c r="D57" s="69"/>
      <c r="E57" s="69"/>
      <c r="F57" s="69"/>
      <c r="G57" s="69"/>
      <c r="H57" s="69"/>
      <c r="I57" s="68"/>
      <c r="J57" s="63"/>
      <c r="K57" s="66"/>
      <c r="L57" s="66"/>
      <c r="M57" s="66"/>
      <c r="N57" s="66"/>
      <c r="O57" s="66"/>
      <c r="P57" s="66"/>
      <c r="Q57" s="66"/>
      <c r="R57" s="66"/>
      <c r="S57" s="66"/>
      <c r="T57" s="66"/>
      <c r="U57" s="66"/>
      <c r="V57" s="66"/>
      <c r="W57" s="66"/>
      <c r="X57" s="66"/>
      <c r="Y57" s="66"/>
      <c r="Z57" s="66"/>
      <c r="AA57" s="66"/>
    </row>
    <row r="58" spans="2:28" ht="23.25" customHeight="1" x14ac:dyDescent="0.3">
      <c r="B58" s="249" t="s">
        <v>77</v>
      </c>
      <c r="C58" s="250"/>
      <c r="D58" s="250"/>
      <c r="E58" s="250"/>
      <c r="F58" s="250"/>
      <c r="G58" s="250"/>
      <c r="H58" s="250"/>
      <c r="I58" s="251"/>
      <c r="J58" s="14"/>
      <c r="K58" s="14"/>
      <c r="L58" s="14"/>
      <c r="M58" s="14"/>
      <c r="N58" s="14"/>
      <c r="O58" s="14"/>
      <c r="P58" s="14"/>
      <c r="Q58" s="14"/>
      <c r="R58" s="14"/>
      <c r="S58" s="14"/>
      <c r="T58" s="14"/>
      <c r="U58" s="14"/>
      <c r="V58" s="14"/>
      <c r="W58" s="14"/>
      <c r="X58" s="14"/>
      <c r="Y58" s="14"/>
      <c r="Z58" s="14"/>
      <c r="AA58" s="14"/>
    </row>
    <row r="59" spans="2:28" ht="19.5" customHeight="1" x14ac:dyDescent="0.3">
      <c r="B59" s="84" t="s">
        <v>78</v>
      </c>
      <c r="C59" s="85"/>
      <c r="D59" s="85"/>
      <c r="E59" s="85"/>
      <c r="F59" s="85"/>
      <c r="G59" s="85"/>
      <c r="H59" s="85"/>
      <c r="I59" s="86"/>
      <c r="J59" s="14"/>
      <c r="K59" s="14"/>
      <c r="L59" s="14"/>
      <c r="M59" s="14"/>
      <c r="N59" s="14"/>
      <c r="O59" s="14"/>
      <c r="P59" s="14"/>
      <c r="Q59" s="14"/>
      <c r="R59" s="14"/>
      <c r="S59" s="14"/>
      <c r="T59" s="14"/>
      <c r="U59" s="14"/>
      <c r="V59" s="14"/>
      <c r="W59" s="14"/>
      <c r="X59" s="14"/>
      <c r="Y59" s="14"/>
      <c r="Z59" s="14"/>
      <c r="AA59" s="14"/>
    </row>
    <row r="60" spans="2:28" ht="11.25" customHeight="1" x14ac:dyDescent="0.3">
      <c r="B60" s="88" t="s">
        <v>79</v>
      </c>
      <c r="C60" s="89"/>
      <c r="D60" s="89"/>
      <c r="E60" s="89"/>
      <c r="F60" s="89"/>
      <c r="G60" s="89"/>
      <c r="H60" s="89"/>
      <c r="I60" s="90"/>
      <c r="J60" s="16"/>
      <c r="K60" s="16"/>
      <c r="L60" s="16"/>
      <c r="M60" s="16"/>
      <c r="N60" s="16"/>
      <c r="O60" s="16"/>
      <c r="P60" s="16"/>
      <c r="Q60" s="16"/>
      <c r="R60" s="16"/>
      <c r="S60" s="16"/>
      <c r="T60" s="16"/>
      <c r="U60" s="16"/>
      <c r="V60" s="16"/>
      <c r="W60" s="16"/>
      <c r="X60" s="16"/>
      <c r="Y60" s="16"/>
      <c r="Z60" s="16"/>
      <c r="AA60" s="16"/>
    </row>
    <row r="61" spans="2:28" ht="11.25" customHeight="1" x14ac:dyDescent="0.3">
      <c r="B61" s="91"/>
      <c r="C61" s="92"/>
      <c r="D61" s="92"/>
      <c r="E61" s="92"/>
      <c r="F61" s="92"/>
      <c r="G61" s="92"/>
      <c r="H61" s="92"/>
      <c r="I61" s="93"/>
      <c r="J61" s="16"/>
      <c r="K61" s="16"/>
      <c r="L61" s="16"/>
      <c r="M61" s="16"/>
      <c r="N61" s="16"/>
      <c r="O61" s="16"/>
      <c r="P61" s="16"/>
      <c r="Q61" s="16"/>
      <c r="R61" s="16"/>
      <c r="S61" s="16"/>
      <c r="T61" s="16"/>
      <c r="U61" s="16"/>
      <c r="V61" s="16"/>
      <c r="W61" s="16"/>
      <c r="X61" s="16"/>
      <c r="Y61" s="16"/>
      <c r="Z61" s="16"/>
      <c r="AA61" s="16"/>
    </row>
    <row r="62" spans="2:28" s="39" customFormat="1" ht="18" customHeight="1" x14ac:dyDescent="0.3">
      <c r="B62" s="91" t="s">
        <v>80</v>
      </c>
      <c r="C62" s="92"/>
      <c r="D62" s="92"/>
      <c r="E62" s="92"/>
      <c r="F62" s="92"/>
      <c r="G62" s="92"/>
      <c r="H62" s="92"/>
      <c r="I62" s="93"/>
      <c r="J62" s="37"/>
      <c r="K62" s="37"/>
      <c r="L62" s="37"/>
      <c r="M62" s="37"/>
      <c r="N62" s="37"/>
      <c r="O62" s="37"/>
      <c r="P62" s="37"/>
      <c r="Q62" s="37"/>
      <c r="R62" s="37"/>
      <c r="S62" s="37"/>
      <c r="T62" s="37"/>
      <c r="U62" s="37"/>
      <c r="V62" s="37"/>
      <c r="W62" s="37"/>
      <c r="X62" s="37"/>
      <c r="Y62" s="37"/>
      <c r="Z62" s="37"/>
      <c r="AA62" s="37"/>
      <c r="AB62" s="38"/>
    </row>
    <row r="63" spans="2:28" ht="18" customHeight="1" thickBot="1" x14ac:dyDescent="0.35">
      <c r="B63" s="96" t="s">
        <v>81</v>
      </c>
      <c r="C63" s="97"/>
      <c r="D63" s="97"/>
      <c r="E63" s="97"/>
      <c r="F63" s="97"/>
      <c r="G63" s="97"/>
      <c r="H63" s="97"/>
      <c r="I63" s="98"/>
      <c r="J63" s="16"/>
      <c r="K63" s="16"/>
      <c r="L63" s="16"/>
      <c r="M63" s="16"/>
      <c r="N63" s="16"/>
      <c r="O63" s="16"/>
      <c r="P63" s="16"/>
      <c r="Q63" s="16"/>
      <c r="R63" s="16"/>
      <c r="S63" s="16"/>
      <c r="T63" s="16"/>
      <c r="U63" s="16"/>
      <c r="V63" s="16"/>
      <c r="W63" s="16"/>
      <c r="X63" s="16"/>
      <c r="Y63" s="16"/>
      <c r="Z63" s="16"/>
      <c r="AA63" s="16"/>
    </row>
    <row r="64" spans="2:28" ht="45" customHeight="1" x14ac:dyDescent="0.3">
      <c r="B64" s="41" t="s">
        <v>82</v>
      </c>
      <c r="C64" s="94" t="s">
        <v>83</v>
      </c>
      <c r="D64" s="94"/>
      <c r="E64" s="94" t="s">
        <v>84</v>
      </c>
      <c r="F64" s="94"/>
      <c r="G64" s="259" t="s">
        <v>85</v>
      </c>
      <c r="H64" s="94" t="s">
        <v>86</v>
      </c>
      <c r="I64" s="261" t="s">
        <v>87</v>
      </c>
      <c r="J64" s="66"/>
      <c r="K64" s="66"/>
      <c r="L64" s="66"/>
      <c r="M64" s="66"/>
      <c r="N64" s="66"/>
      <c r="O64" s="66"/>
      <c r="P64" s="66"/>
      <c r="Q64" s="66"/>
      <c r="R64" s="66"/>
      <c r="S64" s="66"/>
      <c r="T64" s="66"/>
      <c r="U64" s="66"/>
      <c r="V64" s="66"/>
      <c r="W64" s="66"/>
      <c r="X64" s="66"/>
      <c r="Y64" s="66"/>
      <c r="Z64" s="66"/>
      <c r="AA64" s="66"/>
      <c r="AB64" s="66"/>
    </row>
    <row r="65" spans="2:28" ht="32.25" customHeight="1" thickBot="1" x14ac:dyDescent="0.35">
      <c r="B65" s="42" t="s">
        <v>85</v>
      </c>
      <c r="C65" s="101">
        <v>2</v>
      </c>
      <c r="D65" s="101"/>
      <c r="E65" s="95"/>
      <c r="F65" s="95"/>
      <c r="G65" s="260"/>
      <c r="H65" s="95"/>
      <c r="I65" s="262"/>
      <c r="J65" s="66"/>
      <c r="K65" s="66"/>
      <c r="L65" s="66"/>
      <c r="M65" s="66"/>
      <c r="N65" s="66"/>
      <c r="O65" s="66"/>
      <c r="P65" s="66"/>
      <c r="Q65" s="66"/>
      <c r="R65" s="66"/>
      <c r="S65" s="66"/>
      <c r="T65" s="66"/>
      <c r="U65" s="66"/>
      <c r="V65" s="66"/>
      <c r="W65" s="66"/>
      <c r="X65" s="66"/>
      <c r="Y65" s="66"/>
      <c r="Z65" s="66"/>
      <c r="AA65" s="66"/>
      <c r="AB65" s="66"/>
    </row>
    <row r="66" spans="2:28" ht="9.75" customHeight="1" x14ac:dyDescent="0.3">
      <c r="B66" s="59"/>
      <c r="C66" s="59"/>
      <c r="D66" s="59"/>
      <c r="E66" s="28"/>
      <c r="F66" s="28"/>
      <c r="G66" s="99"/>
      <c r="H66" s="99"/>
      <c r="I66" s="59"/>
      <c r="J66" s="66"/>
      <c r="K66" s="66"/>
      <c r="L66" s="66"/>
      <c r="M66" s="66"/>
      <c r="N66" s="66"/>
      <c r="O66" s="66"/>
      <c r="P66" s="66"/>
      <c r="Q66" s="66"/>
      <c r="R66" s="66"/>
      <c r="S66" s="66"/>
      <c r="T66" s="66"/>
      <c r="U66" s="66"/>
      <c r="V66" s="66"/>
      <c r="W66" s="66"/>
      <c r="X66" s="66"/>
      <c r="Y66" s="66"/>
      <c r="Z66" s="66"/>
      <c r="AA66" s="66"/>
      <c r="AB66" s="66"/>
    </row>
    <row r="67" spans="2:28" ht="15" customHeight="1" x14ac:dyDescent="0.3">
      <c r="B67" s="87" t="s">
        <v>88</v>
      </c>
      <c r="C67" s="87"/>
      <c r="D67" s="87"/>
      <c r="E67" s="87"/>
      <c r="F67" s="87"/>
      <c r="G67" s="87"/>
      <c r="H67" s="87"/>
      <c r="I67" s="87"/>
      <c r="J67" s="66"/>
      <c r="K67" s="66"/>
      <c r="L67" s="66"/>
      <c r="M67" s="66"/>
      <c r="N67" s="66"/>
      <c r="O67" s="66"/>
      <c r="P67" s="66"/>
      <c r="Q67" s="66"/>
      <c r="R67" s="66"/>
      <c r="S67" s="66"/>
      <c r="T67" s="66"/>
      <c r="U67" s="66"/>
      <c r="V67" s="66"/>
      <c r="W67" s="66"/>
      <c r="X67" s="66"/>
      <c r="Y67" s="66"/>
      <c r="Z67" s="66"/>
      <c r="AA67" s="66"/>
      <c r="AB67" s="66"/>
    </row>
    <row r="68" spans="2:28" ht="15" customHeight="1" x14ac:dyDescent="0.3">
      <c r="B68" s="60"/>
      <c r="C68" s="60"/>
      <c r="D68" s="60"/>
      <c r="E68" s="29"/>
      <c r="F68" s="29"/>
      <c r="G68" s="100"/>
      <c r="H68" s="100"/>
      <c r="I68" s="60"/>
      <c r="J68" s="66"/>
      <c r="K68" s="66"/>
      <c r="L68" s="66"/>
      <c r="M68" s="66"/>
      <c r="N68" s="66"/>
      <c r="O68" s="66"/>
      <c r="P68" s="66"/>
      <c r="Q68" s="66"/>
      <c r="R68" s="66"/>
      <c r="S68" s="66"/>
      <c r="T68" s="66"/>
      <c r="U68" s="66"/>
      <c r="V68" s="66"/>
      <c r="W68" s="66"/>
      <c r="X68" s="66"/>
      <c r="Y68" s="66"/>
      <c r="Z68" s="66"/>
      <c r="AA68" s="66"/>
      <c r="AB68" s="66"/>
    </row>
    <row r="69" spans="2:28" ht="36" customHeight="1" x14ac:dyDescent="0.3">
      <c r="B69" s="100" t="e" vm="1">
        <v>#VALUE!</v>
      </c>
      <c r="C69" s="100"/>
      <c r="D69" s="100"/>
      <c r="E69" s="100"/>
      <c r="F69" s="29"/>
      <c r="G69" s="100"/>
      <c r="H69" s="100"/>
      <c r="I69" s="60"/>
      <c r="J69" s="66"/>
      <c r="K69" s="66"/>
      <c r="L69" s="66"/>
      <c r="M69" s="66"/>
      <c r="N69" s="66"/>
      <c r="O69" s="66"/>
      <c r="P69" s="66"/>
      <c r="Q69" s="66"/>
      <c r="R69" s="66"/>
      <c r="S69" s="66"/>
      <c r="T69" s="66"/>
      <c r="U69" s="66"/>
      <c r="V69" s="66"/>
      <c r="W69" s="66"/>
      <c r="X69" s="66"/>
      <c r="Y69" s="66"/>
      <c r="Z69" s="66"/>
      <c r="AA69" s="66"/>
      <c r="AB69" s="66"/>
    </row>
    <row r="70" spans="2:28" ht="36" customHeight="1" x14ac:dyDescent="0.3">
      <c r="B70" s="255"/>
      <c r="C70" s="255"/>
      <c r="D70" s="255"/>
      <c r="E70" s="255"/>
      <c r="F70" s="20"/>
      <c r="H70" s="47">
        <v>46215</v>
      </c>
      <c r="I70" s="66"/>
      <c r="J70" s="66"/>
      <c r="K70" s="66"/>
      <c r="L70" s="66"/>
      <c r="M70" s="66"/>
      <c r="N70" s="66"/>
      <c r="O70" s="66"/>
      <c r="P70" s="66"/>
      <c r="Q70" s="66"/>
      <c r="R70" s="66"/>
      <c r="S70" s="66"/>
      <c r="T70" s="66"/>
      <c r="U70" s="66"/>
      <c r="V70" s="66"/>
      <c r="W70" s="66"/>
      <c r="X70" s="66"/>
      <c r="Y70" s="66"/>
      <c r="Z70" s="66"/>
      <c r="AA70" s="66"/>
      <c r="AB70" s="66"/>
    </row>
    <row r="71" spans="2:28" ht="15" customHeight="1" x14ac:dyDescent="0.3">
      <c r="B71" s="83" t="s">
        <v>89</v>
      </c>
      <c r="C71" s="83"/>
      <c r="D71" s="83"/>
      <c r="E71" s="83"/>
      <c r="F71" s="59"/>
      <c r="H71" s="59" t="s">
        <v>90</v>
      </c>
      <c r="I71" s="66"/>
      <c r="J71" s="66"/>
      <c r="K71" s="66"/>
      <c r="L71" s="66"/>
      <c r="M71" s="66"/>
      <c r="N71" s="66"/>
      <c r="O71" s="66"/>
      <c r="P71" s="66"/>
      <c r="Q71" s="66"/>
      <c r="R71" s="66"/>
      <c r="S71" s="66"/>
      <c r="T71" s="66"/>
      <c r="U71" s="66"/>
      <c r="V71" s="66"/>
      <c r="W71" s="66"/>
      <c r="X71" s="66"/>
      <c r="Y71" s="66"/>
      <c r="Z71" s="66"/>
      <c r="AA71" s="66"/>
      <c r="AB71" s="66"/>
    </row>
    <row r="72" spans="2:28" ht="14.4" x14ac:dyDescent="0.3">
      <c r="B72" s="7"/>
      <c r="C72" s="66"/>
      <c r="D72" s="66"/>
      <c r="E72" s="20"/>
      <c r="F72" s="20"/>
      <c r="G72" s="103"/>
      <c r="H72" s="214"/>
      <c r="I72" s="66"/>
      <c r="J72" s="66"/>
      <c r="K72" s="66"/>
      <c r="L72" s="66"/>
      <c r="M72" s="66"/>
      <c r="N72" s="66"/>
      <c r="O72" s="66"/>
      <c r="P72" s="66"/>
      <c r="Q72" s="66"/>
      <c r="R72" s="66"/>
      <c r="S72" s="66"/>
      <c r="T72" s="66"/>
      <c r="U72" s="66"/>
      <c r="V72" s="66"/>
      <c r="W72" s="66"/>
      <c r="X72" s="66"/>
      <c r="Y72" s="66"/>
      <c r="Z72" s="66"/>
      <c r="AA72" s="66"/>
      <c r="AB72" s="66"/>
    </row>
    <row r="73" spans="2:28" ht="30" customHeight="1" x14ac:dyDescent="0.3">
      <c r="B73" s="257"/>
      <c r="C73" s="257"/>
      <c r="D73" s="257"/>
      <c r="E73" s="257"/>
      <c r="F73" s="20"/>
      <c r="H73" s="219"/>
      <c r="I73" s="219"/>
      <c r="J73" s="66"/>
      <c r="K73" s="66"/>
      <c r="L73" s="66"/>
      <c r="M73" s="66"/>
      <c r="N73" s="66"/>
      <c r="O73" s="66"/>
      <c r="P73" s="66"/>
      <c r="Q73" s="66"/>
      <c r="R73" s="66"/>
      <c r="S73" s="66"/>
      <c r="T73" s="66"/>
      <c r="U73" s="66"/>
      <c r="V73" s="66"/>
      <c r="W73" s="66"/>
      <c r="X73" s="66"/>
      <c r="Y73" s="66"/>
      <c r="Z73" s="66"/>
      <c r="AA73" s="66"/>
      <c r="AB73" s="66"/>
    </row>
    <row r="74" spans="2:28" ht="38.25" customHeight="1" thickBot="1" x14ac:dyDescent="0.35">
      <c r="B74" s="258"/>
      <c r="C74" s="258"/>
      <c r="D74" s="258"/>
      <c r="E74" s="258"/>
      <c r="F74" s="20"/>
      <c r="H74" s="256"/>
      <c r="I74" s="256"/>
      <c r="J74" s="66"/>
      <c r="K74" s="66"/>
      <c r="L74" s="66"/>
      <c r="M74" s="66"/>
      <c r="N74" s="66"/>
      <c r="O74" s="66"/>
      <c r="P74" s="66"/>
      <c r="Q74" s="66"/>
      <c r="R74" s="66"/>
      <c r="S74" s="66"/>
      <c r="T74" s="66"/>
      <c r="U74" s="66"/>
      <c r="V74" s="66"/>
      <c r="W74" s="66"/>
      <c r="X74" s="66"/>
      <c r="Y74" s="66"/>
      <c r="Z74" s="66"/>
      <c r="AA74" s="66"/>
      <c r="AB74" s="66"/>
    </row>
    <row r="75" spans="2:28" ht="15.75" customHeight="1" x14ac:dyDescent="0.3">
      <c r="B75" s="7"/>
      <c r="C75" s="18" t="s">
        <v>91</v>
      </c>
      <c r="D75" s="18"/>
      <c r="E75" s="20"/>
      <c r="F75" s="20"/>
      <c r="H75" s="83" t="s">
        <v>92</v>
      </c>
      <c r="I75" s="83"/>
      <c r="J75" s="66"/>
      <c r="K75" s="66"/>
      <c r="L75" s="66"/>
      <c r="M75" s="66"/>
      <c r="N75" s="66"/>
      <c r="O75" s="66"/>
      <c r="P75" s="66"/>
      <c r="Q75" s="66"/>
      <c r="R75" s="66"/>
      <c r="S75" s="66"/>
      <c r="T75" s="66"/>
      <c r="U75" s="66"/>
      <c r="V75" s="66"/>
      <c r="W75" s="66"/>
      <c r="X75" s="66"/>
      <c r="Y75" s="66"/>
      <c r="Z75" s="66"/>
      <c r="AA75" s="66"/>
      <c r="AB75" s="66"/>
    </row>
    <row r="76" spans="2:28" ht="7.2" customHeight="1" x14ac:dyDescent="0.3">
      <c r="B76" s="7"/>
      <c r="C76" s="18"/>
      <c r="D76" s="18"/>
      <c r="E76" s="20"/>
      <c r="F76" s="20"/>
      <c r="G76" s="103"/>
      <c r="H76" s="99"/>
      <c r="I76" s="59"/>
      <c r="J76" s="66"/>
      <c r="K76" s="66"/>
      <c r="L76" s="66"/>
      <c r="M76" s="66"/>
      <c r="N76" s="66"/>
      <c r="O76" s="66"/>
      <c r="P76" s="66"/>
      <c r="Q76" s="66"/>
      <c r="R76" s="66"/>
      <c r="S76" s="66"/>
      <c r="T76" s="66"/>
      <c r="U76" s="66"/>
      <c r="V76" s="66"/>
      <c r="W76" s="66"/>
      <c r="X76" s="66"/>
      <c r="Y76" s="66"/>
      <c r="Z76" s="66"/>
      <c r="AA76" s="66"/>
      <c r="AB76" s="66"/>
    </row>
    <row r="77" spans="2:28" ht="18" customHeight="1" x14ac:dyDescent="0.3">
      <c r="B77" s="102" t="s">
        <v>93</v>
      </c>
      <c r="C77" s="102"/>
      <c r="D77" s="102"/>
      <c r="E77" s="102"/>
      <c r="F77" s="102"/>
      <c r="G77" s="102"/>
      <c r="H77" s="102"/>
      <c r="I77" s="102"/>
      <c r="J77" s="66"/>
      <c r="K77" s="66"/>
      <c r="L77" s="66"/>
      <c r="M77" s="66"/>
      <c r="N77" s="66"/>
      <c r="O77" s="66"/>
      <c r="P77" s="66"/>
      <c r="Q77" s="66"/>
      <c r="R77" s="66"/>
      <c r="S77" s="66"/>
      <c r="T77" s="66"/>
      <c r="U77" s="66"/>
      <c r="V77" s="66"/>
      <c r="W77" s="66"/>
      <c r="X77" s="66"/>
      <c r="Y77" s="66"/>
      <c r="Z77" s="66"/>
      <c r="AA77" s="66"/>
      <c r="AB77" s="66"/>
    </row>
    <row r="78" spans="2:28" ht="14.4" x14ac:dyDescent="0.3">
      <c r="B78" s="102"/>
      <c r="C78" s="102"/>
      <c r="D78" s="102"/>
      <c r="E78" s="102"/>
      <c r="F78" s="102"/>
      <c r="G78" s="102"/>
      <c r="H78" s="102"/>
      <c r="I78" s="102"/>
      <c r="J78" s="66"/>
      <c r="K78" s="66"/>
      <c r="L78" s="66"/>
      <c r="M78" s="66"/>
      <c r="N78" s="66"/>
      <c r="O78" s="66"/>
      <c r="P78" s="66"/>
      <c r="Q78" s="66"/>
      <c r="R78" s="66"/>
      <c r="S78" s="66"/>
      <c r="T78" s="66"/>
      <c r="U78" s="66"/>
      <c r="V78" s="66"/>
      <c r="W78" s="66"/>
      <c r="X78" s="66"/>
      <c r="Y78" s="66"/>
      <c r="Z78" s="66"/>
      <c r="AA78" s="66"/>
      <c r="AB78" s="66"/>
    </row>
    <row r="79" spans="2:28" ht="8.4" customHeight="1" x14ac:dyDescent="0.3">
      <c r="B79" s="61"/>
      <c r="C79" s="61"/>
      <c r="D79" s="61"/>
      <c r="E79" s="61"/>
      <c r="F79" s="61"/>
      <c r="G79" s="104"/>
      <c r="H79" s="104"/>
      <c r="I79" s="61"/>
      <c r="J79" s="66"/>
      <c r="K79" s="66"/>
      <c r="L79" s="66"/>
      <c r="M79" s="66"/>
      <c r="N79" s="66"/>
      <c r="O79" s="66"/>
      <c r="P79" s="66"/>
      <c r="Q79" s="66"/>
      <c r="R79" s="66"/>
      <c r="S79" s="66"/>
      <c r="T79" s="66"/>
      <c r="U79" s="66"/>
      <c r="V79" s="66"/>
      <c r="W79" s="66"/>
      <c r="X79" s="66"/>
      <c r="Y79" s="66"/>
      <c r="Z79" s="66"/>
      <c r="AA79" s="66"/>
      <c r="AB79" s="66"/>
    </row>
    <row r="80" spans="2:28" ht="24" customHeight="1" x14ac:dyDescent="0.3">
      <c r="B80" s="77" t="s">
        <v>94</v>
      </c>
      <c r="C80" s="78"/>
      <c r="D80" s="78"/>
      <c r="E80" s="78"/>
      <c r="F80" s="78"/>
      <c r="G80" s="78"/>
      <c r="H80" s="78"/>
      <c r="I80" s="79"/>
      <c r="J80" s="8"/>
      <c r="K80" s="7"/>
      <c r="L80" s="7"/>
      <c r="M80" s="7"/>
      <c r="N80" s="7"/>
      <c r="O80" s="7"/>
      <c r="P80" s="7"/>
      <c r="Q80" s="7"/>
      <c r="R80" s="7"/>
      <c r="S80" s="7"/>
      <c r="T80" s="7"/>
      <c r="U80" s="7"/>
      <c r="V80" s="7"/>
      <c r="W80" s="7"/>
      <c r="X80" s="7"/>
      <c r="Y80" s="7"/>
      <c r="Z80" s="7"/>
      <c r="AA80" s="7"/>
      <c r="AB80" s="7"/>
    </row>
    <row r="81" spans="2:28" ht="13.5" customHeight="1" x14ac:dyDescent="0.3">
      <c r="B81" s="80" t="s">
        <v>95</v>
      </c>
      <c r="C81" s="81"/>
      <c r="D81" s="81"/>
      <c r="E81" s="81"/>
      <c r="F81" s="81"/>
      <c r="G81" s="81"/>
      <c r="H81" s="81"/>
      <c r="I81" s="82"/>
      <c r="J81" s="8"/>
      <c r="K81" s="19"/>
      <c r="L81" s="7"/>
      <c r="M81" s="7"/>
      <c r="N81" s="7"/>
      <c r="O81" s="7"/>
      <c r="P81" s="7"/>
      <c r="Q81" s="7"/>
      <c r="R81" s="7"/>
      <c r="S81" s="7"/>
      <c r="T81" s="7"/>
      <c r="U81" s="7"/>
      <c r="V81" s="7"/>
      <c r="W81" s="7"/>
      <c r="X81" s="7"/>
      <c r="Y81" s="7"/>
      <c r="Z81" s="7"/>
      <c r="AA81" s="7"/>
      <c r="AB81" s="7"/>
    </row>
    <row r="82" spans="2:28" s="8" customFormat="1" ht="241.5" customHeight="1" thickBot="1" x14ac:dyDescent="0.35">
      <c r="B82" s="252"/>
      <c r="C82" s="253"/>
      <c r="D82" s="253"/>
      <c r="E82" s="253"/>
      <c r="F82" s="253"/>
      <c r="G82" s="253"/>
      <c r="H82" s="253"/>
      <c r="I82" s="254"/>
    </row>
    <row r="83" spans="2:28" ht="14.4" hidden="1" x14ac:dyDescent="0.3">
      <c r="G83" s="103"/>
      <c r="H83" s="103"/>
      <c r="J83" s="8"/>
      <c r="K83" s="7"/>
      <c r="L83" s="7"/>
      <c r="M83" s="7"/>
      <c r="N83" s="7"/>
      <c r="O83" s="7"/>
      <c r="P83" s="7"/>
      <c r="Q83" s="7"/>
      <c r="R83" s="7"/>
      <c r="S83" s="7"/>
      <c r="T83" s="7"/>
      <c r="U83" s="7"/>
      <c r="V83" s="7"/>
      <c r="W83" s="7"/>
      <c r="X83" s="7"/>
      <c r="Y83" s="7"/>
      <c r="Z83" s="7"/>
      <c r="AA83" s="7"/>
      <c r="AB83" s="7"/>
    </row>
    <row r="84" spans="2:28" ht="14.4" hidden="1" x14ac:dyDescent="0.3">
      <c r="G84" s="103"/>
      <c r="H84" s="103"/>
    </row>
    <row r="85" spans="2:28" ht="14.4" hidden="1" x14ac:dyDescent="0.3">
      <c r="G85" s="103"/>
      <c r="H85" s="103"/>
    </row>
    <row r="86" spans="2:28" ht="15" hidden="1" customHeight="1" x14ac:dyDescent="0.3">
      <c r="G86" s="103"/>
      <c r="H86" s="103"/>
    </row>
    <row r="87" spans="2:28" ht="15" hidden="1" customHeight="1" x14ac:dyDescent="0.3">
      <c r="G87" s="103"/>
      <c r="H87" s="103"/>
    </row>
    <row r="88" spans="2:28" ht="15" hidden="1" customHeight="1" x14ac:dyDescent="0.3">
      <c r="G88" s="103"/>
      <c r="H88" s="103"/>
    </row>
    <row r="89" spans="2:28" ht="15" hidden="1" customHeight="1" x14ac:dyDescent="0.3">
      <c r="G89" s="103"/>
      <c r="H89" s="103"/>
    </row>
    <row r="90" spans="2:28" ht="15" hidden="1" customHeight="1" x14ac:dyDescent="0.3">
      <c r="G90" s="103"/>
      <c r="H90" s="103"/>
    </row>
    <row r="91" spans="2:28" ht="15" hidden="1" customHeight="1" x14ac:dyDescent="0.3">
      <c r="G91" s="103"/>
      <c r="H91" s="103"/>
    </row>
    <row r="92" spans="2:28" ht="15" hidden="1" customHeight="1" x14ac:dyDescent="0.3">
      <c r="G92" s="103"/>
      <c r="H92" s="103"/>
    </row>
    <row r="93" spans="2:28" ht="15" hidden="1" customHeight="1" x14ac:dyDescent="0.3">
      <c r="G93" s="103"/>
      <c r="H93" s="103"/>
    </row>
    <row r="94" spans="2:28" ht="15" hidden="1" customHeight="1" x14ac:dyDescent="0.3">
      <c r="G94" s="103"/>
      <c r="H94" s="103"/>
    </row>
    <row r="95" spans="2:28" ht="15" hidden="1" customHeight="1" x14ac:dyDescent="0.3">
      <c r="G95" s="103"/>
      <c r="H95" s="103"/>
    </row>
    <row r="96" spans="2:28" ht="15" hidden="1" customHeight="1" x14ac:dyDescent="0.3">
      <c r="G96" s="103"/>
      <c r="H96" s="103"/>
    </row>
    <row r="97" spans="7:8" ht="15" hidden="1" customHeight="1" x14ac:dyDescent="0.3">
      <c r="G97" s="103"/>
      <c r="H97" s="103"/>
    </row>
    <row r="98" spans="7:8" ht="15" hidden="1" customHeight="1" x14ac:dyDescent="0.3">
      <c r="G98" s="103"/>
      <c r="H98" s="103"/>
    </row>
    <row r="99" spans="7:8" ht="15" hidden="1" customHeight="1" x14ac:dyDescent="0.3">
      <c r="G99" s="103"/>
      <c r="H99" s="103"/>
    </row>
    <row r="100" spans="7:8" ht="15" hidden="1" customHeight="1" x14ac:dyDescent="0.3">
      <c r="G100" s="103"/>
      <c r="H100" s="103"/>
    </row>
    <row r="101" spans="7:8" ht="15" hidden="1" customHeight="1" x14ac:dyDescent="0.3">
      <c r="G101" s="103"/>
      <c r="H101" s="103"/>
    </row>
    <row r="102" spans="7:8" ht="15" hidden="1" customHeight="1" x14ac:dyDescent="0.3">
      <c r="G102" s="103"/>
      <c r="H102" s="103"/>
    </row>
    <row r="103" spans="7:8" ht="15" hidden="1" customHeight="1" x14ac:dyDescent="0.3">
      <c r="G103" s="103"/>
      <c r="H103" s="103"/>
    </row>
    <row r="104" spans="7:8" ht="15" hidden="1" customHeight="1" x14ac:dyDescent="0.3">
      <c r="G104" s="103"/>
      <c r="H104" s="103"/>
    </row>
    <row r="105" spans="7:8" ht="15" hidden="1" customHeight="1" x14ac:dyDescent="0.3">
      <c r="G105" s="103"/>
      <c r="H105" s="103"/>
    </row>
    <row r="106" spans="7:8" ht="15" hidden="1" customHeight="1" x14ac:dyDescent="0.3">
      <c r="G106" s="103"/>
      <c r="H106" s="103"/>
    </row>
    <row r="107" spans="7:8" ht="15" hidden="1" customHeight="1" x14ac:dyDescent="0.3">
      <c r="G107" s="103"/>
      <c r="H107" s="103"/>
    </row>
    <row r="108" spans="7:8" ht="15" hidden="1" customHeight="1" x14ac:dyDescent="0.3">
      <c r="G108" s="103"/>
      <c r="H108" s="103"/>
    </row>
    <row r="109" spans="7:8" ht="15" hidden="1" customHeight="1" x14ac:dyDescent="0.3">
      <c r="G109" s="103"/>
      <c r="H109" s="103"/>
    </row>
    <row r="110" spans="7:8" ht="15" hidden="1" customHeight="1" x14ac:dyDescent="0.3">
      <c r="G110" s="103"/>
      <c r="H110" s="103"/>
    </row>
    <row r="111" spans="7:8" ht="15" hidden="1" customHeight="1" x14ac:dyDescent="0.3">
      <c r="G111" s="103"/>
      <c r="H111" s="103"/>
    </row>
    <row r="112" spans="7:8" ht="15" hidden="1" customHeight="1" x14ac:dyDescent="0.3">
      <c r="G112" s="103"/>
      <c r="H112" s="103"/>
    </row>
    <row r="113" ht="15" customHeight="1" x14ac:dyDescent="0.3"/>
    <row r="114" ht="15" customHeight="1" x14ac:dyDescent="0.3"/>
  </sheetData>
  <mergeCells count="169">
    <mergeCell ref="G111:H111"/>
    <mergeCell ref="G112:H112"/>
    <mergeCell ref="B58:I58"/>
    <mergeCell ref="G105:H105"/>
    <mergeCell ref="G106:H106"/>
    <mergeCell ref="G107:H107"/>
    <mergeCell ref="G108:H108"/>
    <mergeCell ref="G109:H109"/>
    <mergeCell ref="G100:H100"/>
    <mergeCell ref="G101:H101"/>
    <mergeCell ref="G102:H102"/>
    <mergeCell ref="G103:H103"/>
    <mergeCell ref="B82:I82"/>
    <mergeCell ref="B69:E70"/>
    <mergeCell ref="H73:I74"/>
    <mergeCell ref="B73:E74"/>
    <mergeCell ref="G64:G65"/>
    <mergeCell ref="I64:I65"/>
    <mergeCell ref="G86:H86"/>
    <mergeCell ref="G87:H87"/>
    <mergeCell ref="G110:H110"/>
    <mergeCell ref="G83:H83"/>
    <mergeCell ref="G84:H84"/>
    <mergeCell ref="G72:H72"/>
    <mergeCell ref="B44:I44"/>
    <mergeCell ref="G39:G40"/>
    <mergeCell ref="G43:H43"/>
    <mergeCell ref="C37:F40"/>
    <mergeCell ref="C41:F42"/>
    <mergeCell ref="B41:B42"/>
    <mergeCell ref="G85:H85"/>
    <mergeCell ref="D53:E54"/>
    <mergeCell ref="F53:F54"/>
    <mergeCell ref="G53:G54"/>
    <mergeCell ref="H53:H54"/>
    <mergeCell ref="G51:G52"/>
    <mergeCell ref="H37:I38"/>
    <mergeCell ref="B37:B40"/>
    <mergeCell ref="G37:G38"/>
    <mergeCell ref="G88:H88"/>
    <mergeCell ref="G89:H89"/>
    <mergeCell ref="E64:F65"/>
    <mergeCell ref="G104:H104"/>
    <mergeCell ref="G95:H95"/>
    <mergeCell ref="F25:G25"/>
    <mergeCell ref="I45:I46"/>
    <mergeCell ref="G41:G42"/>
    <mergeCell ref="H41:I42"/>
    <mergeCell ref="B35:I35"/>
    <mergeCell ref="H39:I40"/>
    <mergeCell ref="H36:I36"/>
    <mergeCell ref="C36:F36"/>
    <mergeCell ref="G30:H30"/>
    <mergeCell ref="G34:H34"/>
    <mergeCell ref="H25:I25"/>
    <mergeCell ref="B28:D28"/>
    <mergeCell ref="B29:D29"/>
    <mergeCell ref="H28:I28"/>
    <mergeCell ref="B27:I27"/>
    <mergeCell ref="B25:E25"/>
    <mergeCell ref="B31:I31"/>
    <mergeCell ref="B33:F33"/>
    <mergeCell ref="G32:I32"/>
    <mergeCell ref="G33:I33"/>
    <mergeCell ref="E19:G19"/>
    <mergeCell ref="H19:I19"/>
    <mergeCell ref="B18:D18"/>
    <mergeCell ref="B19:D19"/>
    <mergeCell ref="E17:G17"/>
    <mergeCell ref="H17:I17"/>
    <mergeCell ref="B23:I23"/>
    <mergeCell ref="B24:E24"/>
    <mergeCell ref="H21:I21"/>
    <mergeCell ref="E21:G21"/>
    <mergeCell ref="E20:G20"/>
    <mergeCell ref="F24:G24"/>
    <mergeCell ref="G22:H22"/>
    <mergeCell ref="H24:I24"/>
    <mergeCell ref="G96:H96"/>
    <mergeCell ref="G97:H97"/>
    <mergeCell ref="G98:H98"/>
    <mergeCell ref="G99:H99"/>
    <mergeCell ref="G90:H90"/>
    <mergeCell ref="G91:H91"/>
    <mergeCell ref="G92:H92"/>
    <mergeCell ref="G93:H93"/>
    <mergeCell ref="G94:H94"/>
    <mergeCell ref="B3:I3"/>
    <mergeCell ref="B5:I5"/>
    <mergeCell ref="B4:I4"/>
    <mergeCell ref="B6:I6"/>
    <mergeCell ref="B7:I7"/>
    <mergeCell ref="H14:I14"/>
    <mergeCell ref="H15:I15"/>
    <mergeCell ref="B14:D14"/>
    <mergeCell ref="B15:D15"/>
    <mergeCell ref="C8:D8"/>
    <mergeCell ref="E8:F8"/>
    <mergeCell ref="F14:G14"/>
    <mergeCell ref="F15:G15"/>
    <mergeCell ref="B13:I13"/>
    <mergeCell ref="E10:I10"/>
    <mergeCell ref="E11:I11"/>
    <mergeCell ref="B10:D10"/>
    <mergeCell ref="B11:D11"/>
    <mergeCell ref="G9:H9"/>
    <mergeCell ref="G12:H12"/>
    <mergeCell ref="H16:I16"/>
    <mergeCell ref="D45:E46"/>
    <mergeCell ref="F45:F46"/>
    <mergeCell ref="G26:H26"/>
    <mergeCell ref="B53:C54"/>
    <mergeCell ref="H29:I29"/>
    <mergeCell ref="E28:F28"/>
    <mergeCell ref="E29:F29"/>
    <mergeCell ref="B32:F32"/>
    <mergeCell ref="B16:D16"/>
    <mergeCell ref="E16:G16"/>
    <mergeCell ref="H51:H52"/>
    <mergeCell ref="H45:H46"/>
    <mergeCell ref="G45:G46"/>
    <mergeCell ref="B45:C46"/>
    <mergeCell ref="B17:D17"/>
    <mergeCell ref="H20:I20"/>
    <mergeCell ref="B20:D20"/>
    <mergeCell ref="B21:D21"/>
    <mergeCell ref="B51:C52"/>
    <mergeCell ref="D51:E52"/>
    <mergeCell ref="F51:F52"/>
    <mergeCell ref="E18:G18"/>
    <mergeCell ref="H18:I18"/>
    <mergeCell ref="B81:I81"/>
    <mergeCell ref="B71:E71"/>
    <mergeCell ref="B59:I59"/>
    <mergeCell ref="B67:I67"/>
    <mergeCell ref="B60:I61"/>
    <mergeCell ref="B62:I62"/>
    <mergeCell ref="H64:H65"/>
    <mergeCell ref="B63:I63"/>
    <mergeCell ref="G66:H66"/>
    <mergeCell ref="G68:H68"/>
    <mergeCell ref="G69:H69"/>
    <mergeCell ref="C64:D64"/>
    <mergeCell ref="C65:D65"/>
    <mergeCell ref="B77:I78"/>
    <mergeCell ref="G76:H76"/>
    <mergeCell ref="G79:H79"/>
    <mergeCell ref="H75:I75"/>
    <mergeCell ref="F55:F56"/>
    <mergeCell ref="G55:G56"/>
    <mergeCell ref="H55:H56"/>
    <mergeCell ref="I55:I56"/>
    <mergeCell ref="I47:I48"/>
    <mergeCell ref="I51:I52"/>
    <mergeCell ref="I53:I54"/>
    <mergeCell ref="D47:E48"/>
    <mergeCell ref="B80:I80"/>
    <mergeCell ref="B55:C56"/>
    <mergeCell ref="D55:E56"/>
    <mergeCell ref="B47:C48"/>
    <mergeCell ref="F47:F48"/>
    <mergeCell ref="G47:G48"/>
    <mergeCell ref="H47:H48"/>
    <mergeCell ref="B49:C50"/>
    <mergeCell ref="D49:E50"/>
    <mergeCell ref="F49:F50"/>
    <mergeCell ref="G49:G50"/>
    <mergeCell ref="H49:H50"/>
    <mergeCell ref="I49:I50"/>
  </mergeCells>
  <phoneticPr fontId="37" type="noConversion"/>
  <conditionalFormatting sqref="D47">
    <cfRule type="containsBlanks" dxfId="9" priority="6">
      <formula>LEN(TRIM(D47))=0</formula>
    </cfRule>
  </conditionalFormatting>
  <conditionalFormatting sqref="D49:E56">
    <cfRule type="containsBlanks" dxfId="12" priority="5">
      <formula>LEN(TRIM(D49))=0</formula>
    </cfRule>
  </conditionalFormatting>
  <conditionalFormatting sqref="B11:I11 B15:I15 B17:I17 B19:I19 B21:I21 B25:I25 B29:I29 H39:I40 B69:E70">
    <cfRule type="containsBlanks" dxfId="11" priority="9">
      <formula>LEN(TRIM(B11))=0</formula>
    </cfRule>
  </conditionalFormatting>
  <conditionalFormatting sqref="G64:G65 I64:I65 B65:D65 H70">
    <cfRule type="containsBlanks" dxfId="10" priority="10">
      <formula>LEN(TRIM(B64))=0</formula>
    </cfRule>
  </conditionalFormatting>
  <conditionalFormatting sqref="B47:C48">
    <cfRule type="containsBlanks" dxfId="3" priority="4">
      <formula>LEN(TRIM(B47))=0</formula>
    </cfRule>
  </conditionalFormatting>
  <conditionalFormatting sqref="B49:C56">
    <cfRule type="containsBlanks" dxfId="2" priority="3">
      <formula>LEN(TRIM(B49))=0</formula>
    </cfRule>
  </conditionalFormatting>
  <conditionalFormatting sqref="F47:I47 F48:H48">
    <cfRule type="containsBlanks" dxfId="1" priority="2">
      <formula>LEN(TRIM(F47))=0</formula>
    </cfRule>
  </conditionalFormatting>
  <conditionalFormatting sqref="F49:H56">
    <cfRule type="containsBlanks" dxfId="0" priority="1">
      <formula>LEN(TRIM(F49))=0</formula>
    </cfRule>
  </conditionalFormatting>
  <dataValidations xWindow="1156" yWindow="532" count="34">
    <dataValidation allowBlank="1" showInputMessage="1" showErrorMessage="1" promptTitle="Desde dd/mm/aa hasta dd/mm/aa" prompt="Ingresar la fehca de inicio y fin de la bitácora" sqref="E11:I11" xr:uid="{CD2FA053-183B-41CA-B267-B4277B8CA158}"/>
    <dataValidation allowBlank="1" showInputMessage="1" showErrorMessage="1" promptTitle="Desplegar y seleccionar" prompt="Desplegar y seleccionar el numero de bitacora actual" sqref="B11:D11" xr:uid="{3D01CEB2-123B-4C72-96E2-63C296030E46}"/>
    <dataValidation allowBlank="1" showInputMessage="1" showErrorMessage="1" prompt="Ingresar Nombres y apellidos de aprendiz, tal como regista en su docuemnto de identificacion" sqref="B15:D15" xr:uid="{A585EB3A-7529-4958-B886-65F5282307D7}"/>
    <dataValidation allowBlank="1" showInputMessage="1" showErrorMessage="1" prompt="Ingresar textualmente su tipo de documento. Ejemplo: Cedula de ciudadania, Pasaporte, Tarjeta de identidad, ETC" sqref="E15" xr:uid="{437B0CC8-2C29-408F-B68E-6F3A4ED1C7AC}"/>
    <dataValidation allowBlank="1" showInputMessage="1" showErrorMessage="1" prompt="Ingrese su numero de identificacion, sin puntos, comas o espacios." sqref="F15:G15" xr:uid="{B3CE04D9-03BB-4323-8FB6-BB3BDA206002}"/>
    <dataValidation allowBlank="1" showInputMessage="1" showErrorMessage="1" prompt="Ingrese su numero telefonico de contacto" sqref="H15:I15" xr:uid="{4C1C65DB-71C6-42A4-B182-2AFC8046A85E}"/>
    <dataValidation allowBlank="1" showInputMessage="1" showErrorMessage="1" prompt="Ingrese su correo SENA" sqref="B17:D17" xr:uid="{A60BB862-A55B-49F3-BA86-B60FD802C01D}"/>
    <dataValidation allowBlank="1" showInputMessage="1" showErrorMessage="1" prompt="Ingrese su correo personal" sqref="E17:G17" xr:uid="{32F1EB00-C1DD-4D21-B121-582E1CBC1029}"/>
    <dataValidation allowBlank="1" showInputMessage="1" showErrorMessage="1" prompt="Ingrese los datos de direccion de recidencia actual, incluyendo ciudad" sqref="H17:I17" xr:uid="{3DB420C9-8C3F-4FD2-BB93-3002ADC0D6C3}"/>
    <dataValidation allowBlank="1" showInputMessage="1" showErrorMessage="1" prompt="Ingrese el numero de ficha al que pertenece" sqref="B19:D19" xr:uid="{DFFFBA8D-FBA5-4BD3-AC44-D2490892B2EA}"/>
    <dataValidation allowBlank="1" showInputMessage="1" showErrorMessage="1" prompt="Técnico o Tecnólogo?" sqref="E19:G19" xr:uid="{4135DBDF-CCD6-4F5E-ABDB-9335530EEA9D}"/>
    <dataValidation allowBlank="1" showInputMessage="1" showErrorMessage="1" promptTitle="Ingresar si aplica" prompt="Presencial o Virtual?  . si no aplica favor colocar un PUNTO (.)" sqref="B21:D21" xr:uid="{8ADE279D-8C86-42BB-9BD1-0C0783D232C0}"/>
    <dataValidation allowBlank="1" showInputMessage="1" showErrorMessage="1" promptTitle=" Ingresar si aplica" prompt="SI o No. . si no aplica favor colocar un PUNTO (.)" sqref="E21:G21" xr:uid="{119BC392-23A1-4BFC-A774-9304C7DDB712}"/>
    <dataValidation allowBlank="1" showInputMessage="1" showErrorMessage="1" promptTitle="Ingresar si Aplica" prompt="Pais donde realiza la etapa prodcutiva. si no aplica favor colocar un PUNTO (.)" sqref="H21:I21" xr:uid="{5280C22F-00AE-41B5-9E83-D2C59488F783}"/>
    <dataValidation allowBlank="1" showInputMessage="1" showErrorMessage="1" prompt="Ingresar nombre completo de la empresa o entidad" sqref="B25:E25" xr:uid="{B4670DF2-9DBC-4520-BB5A-2DE1CAB39C9A}"/>
    <dataValidation allowBlank="1" showInputMessage="1" showErrorMessage="1" prompt="Ingresar el nit d ela empresa. Ejemplo: 800.1253.589-4" sqref="F25:G25" xr:uid="{F993400D-FE4B-492E-8488-7B9FCE16B32E}"/>
    <dataValidation allowBlank="1" showInputMessage="1" showErrorMessage="1" prompt="Nombre completo del jefe inmediato" sqref="B29:D29" xr:uid="{6A191D39-49DE-4071-9F80-28EDA6FC8105}"/>
    <dataValidation allowBlank="1" showInputMessage="1" showErrorMessage="1" prompt="Cargo del jefe inmediato" sqref="E29:F29" xr:uid="{502F3423-C33A-4471-B26C-FB0790F6B760}"/>
    <dataValidation allowBlank="1" showInputMessage="1" showErrorMessage="1" prompt="Ingresar numero de contacto." sqref="G29" xr:uid="{8643D366-4A6B-4DA2-A344-53B316943693}"/>
    <dataValidation allowBlank="1" showInputMessage="1" showErrorMessage="1" prompt="Correo electrónico del jefe inmediato" sqref="H29:I29" xr:uid="{85054B10-E824-4537-9671-AA0ADB26EDBD}"/>
    <dataValidation allowBlank="1" showInputMessage="1" showErrorMessage="1" prompt="Ingresar las actividades desarrolladas. ejemplo :Sesión informativa sobre seguridad de infraestructura y validación de protocolos . Solución del fallo en el sistema de correos automáticos (debugging y validación).etc..." sqref="B47:C57" xr:uid="{1EF4E3E9-6D3D-4AE1-8170-FF1AAEA1E1B9}"/>
    <dataValidation allowBlank="1" showInputMessage="1" showErrorMessage="1" prompt="Ingresar fecha de inicio de la actividad" sqref="F47:F57" xr:uid="{32DD5E98-EAF7-430B-97F3-79C3622F702E}"/>
    <dataValidation allowBlank="1" showInputMessage="1" showErrorMessage="1" prompt="Ingresar fecha de finalizacion de la actividad" sqref="G47:G57" xr:uid="{145C53F1-D232-49E6-A4AB-B178BD1CDE8E}"/>
    <dataValidation allowBlank="1" showInputMessage="1" showErrorMessage="1" promptTitle="NO VAN CAPTURAS DE PANTALLA" prompt="Ejemplo 1: Documento: Documento (material del curso de diseño web revisado y aplicado. _x000a_Ejemplo 2:  Proceso (validación de ejecución de parchados_x000a_en servidores)._x000a_Ejemplo 3: Producto: Aplicacion WEB (Se aclara son ejemplos)" sqref="H49:H57" xr:uid="{1B955B8F-68CD-419F-B5E8-35AC173B4957}"/>
    <dataValidation allowBlank="1" showInputMessage="1" showErrorMessage="1" promptTitle="NO VAN CAPTURAS DE PANTALLA" prompt="Ingresar informacion del desarrollo de la actividad. si hay otro tipo de informa favor relacionarla. (Ejemplo, retrasos, incumplimientos. etc). SI POR TEMAS DE CONFIDENCIALIDAD D ELA INFORMACION NO SE PUEDEN ANEXAR CAPTURAS, FAVOR DEJARLO POR ESCRITO ACA." sqref="I47" xr:uid="{7DAC14A9-1A8D-42E2-8A27-6E4A386F9D2F}"/>
    <dataValidation allowBlank="1" showInputMessage="1" showErrorMessage="1" promptTitle="NO VAN CAPTURAS DE PANTALLA" prompt="Ejemplo 1: Documento: Documento (material del curso de diseño web revisado y aplicado. _x000a_Ejemplo 2:  Proceso (validación de ejecución de parchados_x000a_en servidores)._x000a_Ejemplo 3: Producto: Aplicacion WEB (Se aclara son ejemplos). NO VAN CAPTURAS DE PANTALLA" sqref="H47:H48" xr:uid="{98F32891-5E76-4DA0-9E3B-7BD308C058E4}"/>
    <dataValidation allowBlank="1" showInputMessage="1" showErrorMessage="1" promptTitle="Si / NO" prompt="Si / NO" sqref="B65" xr:uid="{399AC36A-2FBC-4A36-BEF2-DB6479D0AE91}"/>
    <dataValidation allowBlank="1" showInputMessage="1" showErrorMessage="1" prompt="Indiquie el nivel asignado de riego del 1 al 5" sqref="C65:D65" xr:uid="{0B51F00F-01A3-4D67-B07C-4E070A35CC22}"/>
    <dataValidation allowBlank="1" showInputMessage="1" showErrorMessage="1" promptTitle="Si / No" prompt="Si / No" sqref="G64:G65" xr:uid="{635C8396-AD4E-4569-B1B1-E0EA70CFBAA0}"/>
    <dataValidation allowBlank="1" showInputMessage="1" showErrorMessage="1" promptTitle="Si / No/ Na" prompt="Si / No/ Na" sqref="I64:I65" xr:uid="{063D55C3-396A-4363-AE8F-8162D9A36EE0}"/>
    <dataValidation allowBlank="1" showInputMessage="1" showErrorMessage="1" promptTitle="Ingresar fecha de entrega" prompt="Ingresar fecha de entrega de bitácora dd/mm/aa" sqref="H70" xr:uid="{A289CADA-9F97-4709-9E74-EED0C11350F2}"/>
    <dataValidation allowBlank="1" showInputMessage="1" showErrorMessage="1" prompt="Ingresar la firma del aprendiz grafiada o imagen, limpiar el fondo de la firma si se evidencia. No se aceptan firmas Digitadas" sqref="B69:E70" xr:uid="{90E307A6-D82C-4A80-A2FC-BA73B014E285}"/>
    <dataValidation allowBlank="1" showInputMessage="1" showErrorMessage="1" prompt="Ingresar la firma del ente coformador grafiada o imagen, limpiar el fondo de la firma si se evidencia. No se aceptan firmas Digitadas" sqref="H73:I74" xr:uid="{7512F129-C76A-4EA5-A2F0-83202D854C4C}"/>
    <dataValidation allowBlank="1" showInputMessage="1" showErrorMessage="1" promptTitle="Ingresar Capturas de pantalla ev" prompt="Ingresa las evidencias de cumplimiento, como capturas de pantalla o fotografias segun sea el caso" sqref="B82:I82" xr:uid="{40D2D8F2-1FE7-4A55-AF5E-54C9B05900F3}"/>
  </dataValidations>
  <hyperlinks>
    <hyperlink ref="B17" r:id="rId1" xr:uid="{273C202A-116C-4A92-AF64-DA5BBF7E530F}"/>
    <hyperlink ref="E17" r:id="rId2" xr:uid="{E3B5E065-0AF5-416E-95F4-79D4345FB201}"/>
    <hyperlink ref="H29" r:id="rId3" xr:uid="{D006C59E-5C4A-4DAB-B4FA-CA1AFD16CACD}"/>
  </hyperlinks>
  <pageMargins left="0.51181102362204722" right="0.51181102362204722" top="0.35433070866141736" bottom="0.35433070866141736" header="0.31496062992125984" footer="0.31496062992125984"/>
  <pageSetup paperSize="5" scale="38" fitToHeight="0" orientation="portrait" horizontalDpi="4294967294" r:id="rId4"/>
  <drawing r:id="rId5"/>
  <extLst>
    <ext xmlns:x14="http://schemas.microsoft.com/office/spreadsheetml/2009/9/main" uri="{CCE6A557-97BC-4b89-ADB6-D9C93CAAB3DF}">
      <x14:dataValidations xmlns:xm="http://schemas.microsoft.com/office/excel/2006/main" xWindow="1156" yWindow="532" count="2">
        <x14:dataValidation type="list" allowBlank="1" showInputMessage="1" showErrorMessage="1" prompt="Ingresar el programa de formacion al que pertenece" xr:uid="{B93300CA-489F-49BB-A3E5-3614F8952259}">
          <x14:formula1>
            <xm:f>_xlfn.ANCHORARRAY(BD_SENA!$E$2)</xm:f>
          </x14:formula1>
          <xm:sqref>H19:I19</xm:sqref>
        </x14:dataValidation>
        <x14:dataValidation type="list" allowBlank="1" showInputMessage="1" showErrorMessage="1" promptTitle="Despliegue el listado AQUI" prompt="Ingresar la competencia del programa que abarca la actividad realizada, debe ser de las competencias concertadas inicialmente en el formato F023 visita 1" xr:uid="{0D8BD481-B72E-43AC-9736-661B2F1B5B5C}">
          <x14:formula1>
            <xm:f>_xlfn.ANCHORARRAY(BD_SENA!$F$2)</xm:f>
          </x14:formula1>
          <xm:sqref>D47 D49:E57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5944-189C-4F5D-9CE2-C4B36B6B91BB}">
  <dimension ref="A1:K39"/>
  <sheetViews>
    <sheetView topLeftCell="B1" workbookViewId="0">
      <selection activeCell="F3" sqref="F3"/>
    </sheetView>
  </sheetViews>
  <sheetFormatPr baseColWidth="10" defaultColWidth="11.44140625" defaultRowHeight="14.4" x14ac:dyDescent="0.3"/>
  <cols>
    <col min="1" max="1" width="17.44140625" customWidth="1"/>
    <col min="2" max="2" width="58.6640625" customWidth="1"/>
    <col min="3" max="3" width="133" customWidth="1"/>
    <col min="5" max="5" width="29.33203125" customWidth="1"/>
    <col min="6" max="6" width="23" customWidth="1"/>
    <col min="7" max="7" width="10.109375" customWidth="1"/>
  </cols>
  <sheetData>
    <row r="1" spans="1:11" ht="15" thickBot="1" x14ac:dyDescent="0.35">
      <c r="A1" s="50" t="s">
        <v>96</v>
      </c>
      <c r="B1" s="51" t="s">
        <v>97</v>
      </c>
      <c r="C1" s="52" t="s">
        <v>98</v>
      </c>
    </row>
    <row r="2" spans="1:11" ht="40.200000000000003" thickBot="1" x14ac:dyDescent="0.35">
      <c r="A2" s="53" t="s">
        <v>30</v>
      </c>
      <c r="B2" s="54" t="s">
        <v>74</v>
      </c>
      <c r="C2" s="57" t="s">
        <v>99</v>
      </c>
      <c r="E2" t="str" cm="1">
        <f t="array" ref="E2:E3">_xlfn.UNIQUE(TablaSena[PROGRAMA])</f>
        <v>Análisis y Desarrollo de Software</v>
      </c>
      <c r="F2" t="str" cm="1">
        <f t="array" ref="F2:F8">_xlfn.UNIQUE(_xlfn._xlws.FILTER(TablaSena[COMPETENCIA], TablaSena[PROGRAMA]=Bitacora!$H$19, "Seleccione Programa"))</f>
        <v>38392 - Establecer requisitos de la solución de software de acuerdo con estándares y procedimiento técnico</v>
      </c>
      <c r="G2" t="str" cm="1">
        <f t="array" ref="G2:G5">_xlfn._xlws.FILTER(TablaSena[RESULTADO DE APRENDIZAJE (RAP)], TablaSena[COMPETENCIA]='[1]Formato Visita 1'!$C$50, "...")</f>
        <v>593346 - 01 CARACTERIZAR LOS PROCESOS DE LA ORGANIZACIÓN DE ACUERDO CON EL SOFTWARE A CONSTRUIR</v>
      </c>
      <c r="H2" t="str" cm="1">
        <f t="array" ref="H2:H5">_xlfn._xlws.FILTER(TablaSena[RESULTADO DE APRENDIZAJE (RAP)], TablaSena[COMPETENCIA]='[1]Formato Visita 1'!$C$51, "...")</f>
        <v>593101 - 02 ESTRUCTURAR EL MODELO DE DATOS DEL SOFTWARE DE ACUERDO CON LAS ESPECIFICACIONES DEL ANÁLISIS</v>
      </c>
      <c r="I2" t="str" cm="1">
        <f t="array" ref="I2:I6">_xlfn._xlws.FILTER(TablaSena[RESULTADO DE APRENDIZAJE (RAP)], TablaSena[COMPETENCIA]='[1]Formato Visita 1'!$C$52, "...")</f>
        <v>593107 - 02 CONSTRUIR LA BASE DE DATOS PARA EL SOFTWARE A PARTIR DEL MODELO DE DATOS</v>
      </c>
      <c r="J2" t="str" cm="1">
        <f t="array" ref="J2:J3">_xlfn._xlws.FILTER(TablaSena[RESULTADO DE APRENDIZAJE (RAP)], TablaSena[COMPETENCIA]='[1]Formato Visita 1'!$C$53, "...")</f>
        <v>593060 - 01 DEFINIR ESPECIFICACIONES TÉCNICAS DEL SOFTWARE DE ACUERDO CON LAS CARACTERÍSTICAS DEL SOFTWARE A CONSTRUIR</v>
      </c>
      <c r="K2" t="str" cm="1">
        <f t="array" ref="K2:K5">_xlfn._xlws.FILTER(TablaSena[RESULTADO DE APRENDIZAJE (RAP)], TablaSena[COMPETENCIA]='[1]Formato Visita 1'!$C$54, "...")</f>
        <v>592375 - 01 PLANEAR ACTIVIDADES DE ANÁLISIS DE ACUERDO CON LA METODOLOGÍA SELECCIONADA</v>
      </c>
    </row>
    <row r="3" spans="1:11" ht="40.200000000000003" thickBot="1" x14ac:dyDescent="0.35">
      <c r="A3" s="53" t="s">
        <v>30</v>
      </c>
      <c r="B3" s="54" t="s">
        <v>74</v>
      </c>
      <c r="C3" s="57" t="s">
        <v>100</v>
      </c>
      <c r="E3" t="str">
        <v>Programación de Software</v>
      </c>
      <c r="F3" t="str">
        <v>38376 - Evaluar requisitos de la solución de software de acuerdo con metodologías de análisis y estándares</v>
      </c>
      <c r="G3" t="str">
        <v>593345 - 04 VALIDAR EL INFORME DE REQUISITOS DE ACUERDO CON LAS NECESIDADES DEL CLIENTE</v>
      </c>
      <c r="H3" t="str">
        <v>593103 - 01 ELABORAR LOS ARTEFACTOS DE DISEÑO DEL SOFTWARE SIGUIENDO LAS PRÁCTICAS DE LA METODOLOGÍA SELECCIONADA</v>
      </c>
      <c r="I3" t="str">
        <v>593106 - 01 PLANEAR ACTIVIDADES DE CONSTRUCCIÓN DEL SOFTWARE DE ACUERDO CON EL DISEÑO ESTABLECIDO</v>
      </c>
      <c r="J3" t="str">
        <v>593062 - 02 ELABORAR PROPUESTA TÉCNICA DEL SOFTWARE DE ACUERDO CON LAS ESPECIFICACIONES TÉCNICAS DEFINIDAS</v>
      </c>
      <c r="K3" t="str">
        <v>592374 - 04 VERIFICAR LOS MODELOS REALIZADOS EN LA FASE DE ANÁLISIS DE ACUERDO CON LO ESTABLECIDO EN EL INFORME DE REQUISITOS</v>
      </c>
    </row>
    <row r="4" spans="1:11" ht="40.200000000000003" thickBot="1" x14ac:dyDescent="0.35">
      <c r="A4" s="53" t="s">
        <v>30</v>
      </c>
      <c r="B4" s="54" t="s">
        <v>74</v>
      </c>
      <c r="C4" s="57" t="s">
        <v>101</v>
      </c>
      <c r="F4" t="str">
        <v>38362 - Diseñar la solución de software de acuerdo con procedimientos y requisitos técnicos</v>
      </c>
      <c r="G4" t="str">
        <v>593344 - 02 RECOLECTAR INFORMACIÓN DEL SOFTWARE A CONSTRUIR DE ACUERDO CON LAS NECESIDADES DEL CLIENTE</v>
      </c>
      <c r="H4" t="str">
        <v>593102 - 04 VERIFICAR LOS ENTREGABLES DE LA FASE DE DISEÑO DEL SOFTWARE DE ACUERDO CON LO ESTABLECIDO EN EL INFORME DE ANÁLISIS</v>
      </c>
      <c r="I4" t="str">
        <v>593104 - 03 CREAR COMPONENTES FRONT-END DEL SOFTWARE DE ACUERDO CON EL DISEÑO</v>
      </c>
      <c r="K4" t="str">
        <v>592376 - 03 DESARROLLAR PROCESOS LÓGICOS A TRAVÉS DE LA IMPLEMENTACIÓN DE ALGORITMOS</v>
      </c>
    </row>
    <row r="5" spans="1:11" ht="40.200000000000003" thickBot="1" x14ac:dyDescent="0.35">
      <c r="A5" s="53" t="s">
        <v>30</v>
      </c>
      <c r="B5" s="54" t="s">
        <v>74</v>
      </c>
      <c r="C5" s="57" t="s">
        <v>102</v>
      </c>
      <c r="F5" t="str">
        <v>38368 - Desarrollar la solución de software de acuerdo con el diseño y metodologías de desarrollo</v>
      </c>
      <c r="G5" t="str">
        <v>38392 - 03 ESTABLECER LOS REQUISITOS DEL SOFTWARE DE ACUERDO CON LA INFORMACIÓN RECOLECTADA</v>
      </c>
      <c r="H5" t="str">
        <v>593100 - 03 DETERMINAR LAS CARACTERÍSTICAS TÉCNICAS DE LA INTERFAZ GRÁFICA DEL SOFTWARE ADOPTANDO ESTÁNDARES</v>
      </c>
      <c r="I5" t="str">
        <v>593108 - 04 CODIFICAR EL SOFTWARE DE ACUERDO CON EL DISEÑO ESTABLECIDO</v>
      </c>
      <c r="K5" t="str">
        <v>592373 - 02 MODELAR LAS FUNCIONES DEL SOFTWARE DE ACUERDO CON EL INFORME DE REQUISITOS</v>
      </c>
    </row>
    <row r="6" spans="1:11" ht="40.200000000000003" thickBot="1" x14ac:dyDescent="0.35">
      <c r="A6" s="53" t="s">
        <v>30</v>
      </c>
      <c r="B6" s="54" t="s">
        <v>103</v>
      </c>
      <c r="C6" s="57" t="s">
        <v>104</v>
      </c>
      <c r="F6" t="str">
        <v>38369 - Controlar la calidad del servicio de software de acuerdo con los estándares técnicos</v>
      </c>
      <c r="I6" t="str">
        <v>593105 - 05 REALIZAR PRUEBAS AL SOFTWARE PARA VERIFICAR SU FUNCIONALIDAD</v>
      </c>
    </row>
    <row r="7" spans="1:11" ht="40.200000000000003" thickBot="1" x14ac:dyDescent="0.35">
      <c r="A7" s="53" t="s">
        <v>30</v>
      </c>
      <c r="B7" s="54" t="s">
        <v>103</v>
      </c>
      <c r="C7" s="57" t="s">
        <v>105</v>
      </c>
      <c r="F7" t="str">
        <v>38367 - Estructurar propuesta técnica de servicio de tecnología de la información según requisitos técnicos y normativa</v>
      </c>
    </row>
    <row r="8" spans="1:11" ht="40.200000000000003" thickBot="1" x14ac:dyDescent="0.35">
      <c r="A8" s="53" t="s">
        <v>30</v>
      </c>
      <c r="B8" s="54" t="s">
        <v>103</v>
      </c>
      <c r="C8" s="57" t="s">
        <v>106</v>
      </c>
      <c r="F8" t="str">
        <v>38356 - Implementar la solución de software de acuerdo con los requisitos de operación y modelos de referencia</v>
      </c>
    </row>
    <row r="9" spans="1:11" ht="40.200000000000003" thickBot="1" x14ac:dyDescent="0.35">
      <c r="A9" s="53" t="s">
        <v>30</v>
      </c>
      <c r="B9" s="54" t="s">
        <v>103</v>
      </c>
      <c r="C9" s="57" t="s">
        <v>107</v>
      </c>
    </row>
    <row r="10" spans="1:11" ht="40.200000000000003" thickBot="1" x14ac:dyDescent="0.35">
      <c r="A10" s="53" t="s">
        <v>30</v>
      </c>
      <c r="B10" s="54" t="s">
        <v>76</v>
      </c>
      <c r="C10" s="57" t="s">
        <v>108</v>
      </c>
    </row>
    <row r="11" spans="1:11" ht="40.200000000000003" thickBot="1" x14ac:dyDescent="0.35">
      <c r="A11" s="53" t="s">
        <v>30</v>
      </c>
      <c r="B11" s="54" t="s">
        <v>76</v>
      </c>
      <c r="C11" s="57" t="s">
        <v>109</v>
      </c>
    </row>
    <row r="12" spans="1:11" ht="40.200000000000003" thickBot="1" x14ac:dyDescent="0.35">
      <c r="A12" s="53" t="s">
        <v>30</v>
      </c>
      <c r="B12" s="54" t="s">
        <v>76</v>
      </c>
      <c r="C12" s="57" t="s">
        <v>110</v>
      </c>
    </row>
    <row r="13" spans="1:11" ht="40.200000000000003" thickBot="1" x14ac:dyDescent="0.35">
      <c r="A13" s="53" t="s">
        <v>30</v>
      </c>
      <c r="B13" s="54" t="s">
        <v>76</v>
      </c>
      <c r="C13" s="57" t="s">
        <v>111</v>
      </c>
    </row>
    <row r="14" spans="1:11" ht="40.200000000000003" thickBot="1" x14ac:dyDescent="0.35">
      <c r="A14" s="53" t="s">
        <v>30</v>
      </c>
      <c r="B14" s="54" t="s">
        <v>75</v>
      </c>
      <c r="C14" s="57" t="s">
        <v>112</v>
      </c>
    </row>
    <row r="15" spans="1:11" ht="40.200000000000003" thickBot="1" x14ac:dyDescent="0.35">
      <c r="A15" s="53" t="s">
        <v>30</v>
      </c>
      <c r="B15" s="54" t="s">
        <v>75</v>
      </c>
      <c r="C15" s="57" t="s">
        <v>113</v>
      </c>
    </row>
    <row r="16" spans="1:11" ht="40.200000000000003" thickBot="1" x14ac:dyDescent="0.35">
      <c r="A16" s="53" t="s">
        <v>30</v>
      </c>
      <c r="B16" s="54" t="s">
        <v>75</v>
      </c>
      <c r="C16" s="57" t="s">
        <v>114</v>
      </c>
    </row>
    <row r="17" spans="1:3" ht="40.200000000000003" thickBot="1" x14ac:dyDescent="0.35">
      <c r="A17" s="53" t="s">
        <v>30</v>
      </c>
      <c r="B17" s="54" t="s">
        <v>75</v>
      </c>
      <c r="C17" s="57" t="s">
        <v>115</v>
      </c>
    </row>
    <row r="18" spans="1:3" ht="40.200000000000003" thickBot="1" x14ac:dyDescent="0.35">
      <c r="A18" s="53" t="s">
        <v>30</v>
      </c>
      <c r="B18" s="54" t="s">
        <v>75</v>
      </c>
      <c r="C18" s="57" t="s">
        <v>116</v>
      </c>
    </row>
    <row r="19" spans="1:3" ht="40.200000000000003" thickBot="1" x14ac:dyDescent="0.35">
      <c r="A19" s="53" t="s">
        <v>30</v>
      </c>
      <c r="B19" s="54" t="s">
        <v>117</v>
      </c>
      <c r="C19" s="57" t="s">
        <v>118</v>
      </c>
    </row>
    <row r="20" spans="1:3" ht="40.200000000000003" thickBot="1" x14ac:dyDescent="0.35">
      <c r="A20" s="53" t="s">
        <v>30</v>
      </c>
      <c r="B20" s="54" t="s">
        <v>117</v>
      </c>
      <c r="C20" s="57" t="s">
        <v>119</v>
      </c>
    </row>
    <row r="21" spans="1:3" ht="40.200000000000003" thickBot="1" x14ac:dyDescent="0.35">
      <c r="A21" s="53" t="s">
        <v>30</v>
      </c>
      <c r="B21" s="54" t="s">
        <v>117</v>
      </c>
      <c r="C21" s="57" t="s">
        <v>120</v>
      </c>
    </row>
    <row r="22" spans="1:3" ht="40.200000000000003" thickBot="1" x14ac:dyDescent="0.35">
      <c r="A22" s="53" t="s">
        <v>30</v>
      </c>
      <c r="B22" s="54" t="s">
        <v>121</v>
      </c>
      <c r="C22" s="57" t="s">
        <v>122</v>
      </c>
    </row>
    <row r="23" spans="1:3" ht="40.200000000000003" thickBot="1" x14ac:dyDescent="0.35">
      <c r="A23" s="53" t="s">
        <v>30</v>
      </c>
      <c r="B23" s="54" t="s">
        <v>121</v>
      </c>
      <c r="C23" s="57" t="s">
        <v>123</v>
      </c>
    </row>
    <row r="24" spans="1:3" ht="40.200000000000003" thickBot="1" x14ac:dyDescent="0.35">
      <c r="A24" s="53" t="s">
        <v>30</v>
      </c>
      <c r="B24" s="54" t="s">
        <v>124</v>
      </c>
      <c r="C24" s="57" t="s">
        <v>125</v>
      </c>
    </row>
    <row r="25" spans="1:3" ht="40.200000000000003" thickBot="1" x14ac:dyDescent="0.35">
      <c r="A25" s="53" t="s">
        <v>30</v>
      </c>
      <c r="B25" s="54" t="s">
        <v>124</v>
      </c>
      <c r="C25" s="57" t="s">
        <v>126</v>
      </c>
    </row>
    <row r="26" spans="1:3" ht="40.200000000000003" thickBot="1" x14ac:dyDescent="0.35">
      <c r="A26" s="53" t="s">
        <v>30</v>
      </c>
      <c r="B26" s="54" t="s">
        <v>124</v>
      </c>
      <c r="C26" s="57" t="s">
        <v>127</v>
      </c>
    </row>
    <row r="27" spans="1:3" ht="40.200000000000003" thickBot="1" x14ac:dyDescent="0.35">
      <c r="A27" s="53" t="s">
        <v>30</v>
      </c>
      <c r="B27" s="54" t="s">
        <v>124</v>
      </c>
      <c r="C27" s="57" t="s">
        <v>128</v>
      </c>
    </row>
    <row r="28" spans="1:3" ht="27" thickBot="1" x14ac:dyDescent="0.35">
      <c r="A28" s="53" t="s">
        <v>129</v>
      </c>
      <c r="B28" s="54" t="s">
        <v>130</v>
      </c>
      <c r="C28" s="57" t="s">
        <v>131</v>
      </c>
    </row>
    <row r="29" spans="1:3" ht="27" thickBot="1" x14ac:dyDescent="0.35">
      <c r="A29" s="53" t="s">
        <v>129</v>
      </c>
      <c r="B29" s="54" t="s">
        <v>130</v>
      </c>
      <c r="C29" s="57" t="s">
        <v>132</v>
      </c>
    </row>
    <row r="30" spans="1:3" ht="27" thickBot="1" x14ac:dyDescent="0.35">
      <c r="A30" s="53" t="s">
        <v>129</v>
      </c>
      <c r="B30" s="54" t="s">
        <v>130</v>
      </c>
      <c r="C30" s="57" t="s">
        <v>133</v>
      </c>
    </row>
    <row r="31" spans="1:3" ht="27" thickBot="1" x14ac:dyDescent="0.35">
      <c r="A31" s="53" t="s">
        <v>129</v>
      </c>
      <c r="B31" s="54" t="s">
        <v>130</v>
      </c>
      <c r="C31" s="57" t="s">
        <v>134</v>
      </c>
    </row>
    <row r="32" spans="1:3" ht="27" thickBot="1" x14ac:dyDescent="0.35">
      <c r="A32" s="53" t="s">
        <v>129</v>
      </c>
      <c r="B32" s="54" t="s">
        <v>135</v>
      </c>
      <c r="C32" s="57" t="s">
        <v>136</v>
      </c>
    </row>
    <row r="33" spans="1:3" ht="27" thickBot="1" x14ac:dyDescent="0.35">
      <c r="A33" s="53" t="s">
        <v>129</v>
      </c>
      <c r="B33" s="54" t="s">
        <v>135</v>
      </c>
      <c r="C33" s="57" t="s">
        <v>137</v>
      </c>
    </row>
    <row r="34" spans="1:3" ht="27" thickBot="1" x14ac:dyDescent="0.35">
      <c r="A34" s="53" t="s">
        <v>129</v>
      </c>
      <c r="B34" s="54" t="s">
        <v>135</v>
      </c>
      <c r="C34" s="57" t="s">
        <v>138</v>
      </c>
    </row>
    <row r="35" spans="1:3" ht="27" thickBot="1" x14ac:dyDescent="0.35">
      <c r="A35" s="53" t="s">
        <v>129</v>
      </c>
      <c r="B35" s="54" t="s">
        <v>139</v>
      </c>
      <c r="C35" s="57" t="s">
        <v>140</v>
      </c>
    </row>
    <row r="36" spans="1:3" ht="27" thickBot="1" x14ac:dyDescent="0.35">
      <c r="A36" s="53" t="s">
        <v>129</v>
      </c>
      <c r="B36" s="54" t="s">
        <v>139</v>
      </c>
      <c r="C36" s="57" t="s">
        <v>141</v>
      </c>
    </row>
    <row r="37" spans="1:3" ht="27" thickBot="1" x14ac:dyDescent="0.35">
      <c r="A37" s="53" t="s">
        <v>129</v>
      </c>
      <c r="B37" s="54" t="s">
        <v>142</v>
      </c>
      <c r="C37" s="57" t="s">
        <v>143</v>
      </c>
    </row>
    <row r="38" spans="1:3" ht="27" thickBot="1" x14ac:dyDescent="0.35">
      <c r="A38" s="53" t="s">
        <v>129</v>
      </c>
      <c r="B38" s="54" t="s">
        <v>142</v>
      </c>
      <c r="C38" s="57" t="s">
        <v>144</v>
      </c>
    </row>
    <row r="39" spans="1:3" ht="26.4" x14ac:dyDescent="0.3">
      <c r="A39" s="55" t="s">
        <v>129</v>
      </c>
      <c r="B39" s="56" t="s">
        <v>145</v>
      </c>
      <c r="C39" s="58" t="s">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4140625" defaultRowHeight="14.4" x14ac:dyDescent="0.3"/>
  <sheetData>
    <row r="1" spans="4:4" x14ac:dyDescent="0.3">
      <c r="D1">
        <v>1</v>
      </c>
    </row>
    <row r="2" spans="4:4" x14ac:dyDescent="0.3">
      <c r="D2">
        <v>2</v>
      </c>
    </row>
    <row r="3" spans="4:4" x14ac:dyDescent="0.3">
      <c r="D3">
        <v>3</v>
      </c>
    </row>
    <row r="4" spans="4:4" x14ac:dyDescent="0.3">
      <c r="D4">
        <v>4</v>
      </c>
    </row>
    <row r="5" spans="4:4" x14ac:dyDescent="0.3">
      <c r="D5">
        <v>5</v>
      </c>
    </row>
    <row r="6" spans="4:4" x14ac:dyDescent="0.3">
      <c r="D6">
        <v>6</v>
      </c>
    </row>
    <row r="7" spans="4:4" x14ac:dyDescent="0.3">
      <c r="D7">
        <v>7</v>
      </c>
    </row>
    <row r="8" spans="4:4" x14ac:dyDescent="0.3">
      <c r="D8">
        <v>8</v>
      </c>
    </row>
    <row r="9" spans="4:4" x14ac:dyDescent="0.3">
      <c r="D9">
        <v>9</v>
      </c>
    </row>
    <row r="10" spans="4:4" x14ac:dyDescent="0.3">
      <c r="D10">
        <v>10</v>
      </c>
    </row>
    <row r="11" spans="4:4" x14ac:dyDescent="0.3">
      <c r="D11">
        <v>11</v>
      </c>
    </row>
    <row r="12" spans="4:4" x14ac:dyDescent="0.3">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4140625" defaultRowHeight="14.4" x14ac:dyDescent="0.3"/>
  <cols>
    <col min="1" max="20" width="5.6640625" style="1" customWidth="1"/>
    <col min="21" max="24" width="8.44140625" style="1" customWidth="1"/>
    <col min="25" max="16384" width="11.44140625" style="1"/>
  </cols>
  <sheetData>
    <row r="1" spans="1:24" ht="18" x14ac:dyDescent="0.35">
      <c r="A1" s="289" t="s">
        <v>147</v>
      </c>
      <c r="B1" s="289"/>
      <c r="C1" s="289"/>
      <c r="D1" s="289"/>
      <c r="E1" s="289"/>
      <c r="F1" s="289"/>
      <c r="G1" s="289"/>
      <c r="H1" s="289"/>
      <c r="I1" s="289"/>
      <c r="J1" s="289"/>
      <c r="K1" s="289"/>
      <c r="L1" s="289"/>
      <c r="M1" s="289"/>
      <c r="N1" s="289"/>
      <c r="O1" s="289"/>
      <c r="P1" s="289"/>
      <c r="Q1" s="289"/>
      <c r="R1" s="289"/>
      <c r="S1" s="289"/>
      <c r="T1" s="289"/>
      <c r="U1" s="289" t="s">
        <v>148</v>
      </c>
      <c r="V1" s="289"/>
      <c r="W1" s="289"/>
      <c r="X1" s="289"/>
    </row>
    <row r="2" spans="1:24" ht="33" customHeight="1" x14ac:dyDescent="0.35">
      <c r="A2" s="289"/>
      <c r="B2" s="289"/>
      <c r="C2" s="289"/>
      <c r="D2" s="289"/>
      <c r="E2" s="289"/>
      <c r="F2" s="289"/>
      <c r="G2" s="289"/>
      <c r="H2" s="289"/>
      <c r="I2" s="289"/>
      <c r="J2" s="289"/>
      <c r="K2" s="289"/>
      <c r="L2" s="289"/>
      <c r="M2" s="289"/>
      <c r="N2" s="289"/>
      <c r="O2" s="289"/>
      <c r="P2" s="289"/>
      <c r="Q2" s="289"/>
      <c r="R2" s="289"/>
      <c r="S2" s="289"/>
      <c r="T2" s="289"/>
      <c r="U2" s="269" t="s">
        <v>149</v>
      </c>
      <c r="V2" s="269"/>
      <c r="W2" s="269"/>
      <c r="X2" s="269"/>
    </row>
    <row r="3" spans="1:24" ht="33" customHeight="1" thickBot="1" x14ac:dyDescent="0.35">
      <c r="U3" s="296"/>
      <c r="V3" s="296"/>
      <c r="W3" s="296"/>
      <c r="X3" s="296"/>
    </row>
    <row r="4" spans="1:24" s="2" customFormat="1" ht="18" customHeight="1" thickBot="1" x14ac:dyDescent="0.35">
      <c r="A4" s="293" t="s">
        <v>150</v>
      </c>
      <c r="B4" s="294"/>
      <c r="C4" s="294"/>
      <c r="D4" s="294"/>
      <c r="E4" s="294"/>
      <c r="F4" s="294"/>
      <c r="G4" s="294"/>
      <c r="H4" s="294"/>
      <c r="I4" s="294"/>
      <c r="J4" s="294"/>
      <c r="K4" s="294"/>
      <c r="L4" s="294"/>
      <c r="M4" s="295"/>
      <c r="N4" s="293" t="s">
        <v>151</v>
      </c>
      <c r="O4" s="294"/>
      <c r="P4" s="294"/>
      <c r="Q4" s="294"/>
      <c r="R4" s="294"/>
      <c r="S4" s="294"/>
      <c r="T4" s="294"/>
      <c r="U4" s="294"/>
      <c r="V4" s="294"/>
      <c r="W4" s="294"/>
      <c r="X4" s="295"/>
    </row>
    <row r="5" spans="1:24" ht="18" customHeight="1" thickBot="1" x14ac:dyDescent="0.35">
      <c r="A5" s="290"/>
      <c r="B5" s="291"/>
      <c r="C5" s="291"/>
      <c r="D5" s="291"/>
      <c r="E5" s="291"/>
      <c r="F5" s="291"/>
      <c r="G5" s="291"/>
      <c r="H5" s="291"/>
      <c r="I5" s="291"/>
      <c r="J5" s="291"/>
      <c r="K5" s="291"/>
      <c r="L5" s="291"/>
      <c r="M5" s="292"/>
      <c r="N5" s="290"/>
      <c r="O5" s="291"/>
      <c r="P5" s="291"/>
      <c r="Q5" s="291"/>
      <c r="R5" s="291"/>
      <c r="S5" s="291"/>
      <c r="T5" s="291"/>
      <c r="U5" s="291"/>
      <c r="V5" s="291"/>
      <c r="W5" s="291"/>
      <c r="X5" s="292"/>
    </row>
    <row r="6" spans="1:24" ht="9.9" customHeight="1" x14ac:dyDescent="0.3">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3">
      <c r="A7" s="267" t="s">
        <v>152</v>
      </c>
      <c r="B7" s="267"/>
      <c r="C7" s="267"/>
      <c r="D7" s="267"/>
      <c r="E7" s="267"/>
      <c r="F7" s="267"/>
      <c r="G7" s="267"/>
      <c r="H7" s="267"/>
      <c r="I7" s="267"/>
      <c r="J7" s="267" t="s">
        <v>153</v>
      </c>
      <c r="K7" s="267"/>
      <c r="L7" s="267"/>
      <c r="M7" s="267"/>
      <c r="N7" s="267"/>
      <c r="O7" s="267"/>
      <c r="P7" s="267" t="s">
        <v>154</v>
      </c>
      <c r="Q7" s="267"/>
      <c r="R7" s="267"/>
      <c r="S7" s="267"/>
      <c r="T7" s="267"/>
      <c r="U7" s="267"/>
      <c r="V7" s="267"/>
      <c r="W7" s="267"/>
      <c r="X7" s="267"/>
    </row>
    <row r="8" spans="1:24" ht="18" customHeight="1" x14ac:dyDescent="0.3">
      <c r="A8" s="274"/>
      <c r="B8" s="274"/>
      <c r="C8" s="274"/>
      <c r="D8" s="274"/>
      <c r="E8" s="274"/>
      <c r="F8" s="274"/>
      <c r="G8" s="274"/>
      <c r="H8" s="274"/>
      <c r="I8" s="274"/>
      <c r="J8" s="275" t="s">
        <v>155</v>
      </c>
      <c r="K8" s="276"/>
      <c r="L8" s="276"/>
      <c r="M8" s="276"/>
      <c r="N8" s="276"/>
      <c r="O8" s="277"/>
      <c r="P8" s="275" t="s">
        <v>156</v>
      </c>
      <c r="Q8" s="276"/>
      <c r="R8" s="276"/>
      <c r="S8" s="276"/>
      <c r="T8" s="276"/>
      <c r="U8" s="276"/>
      <c r="V8" s="276"/>
      <c r="W8" s="276"/>
      <c r="X8" s="277"/>
    </row>
    <row r="9" spans="1:24" ht="9.9" customHeight="1" x14ac:dyDescent="0.3">
      <c r="A9" s="3"/>
      <c r="B9" s="3"/>
      <c r="C9" s="3"/>
      <c r="D9" s="3"/>
      <c r="E9" s="3"/>
      <c r="F9" s="3"/>
      <c r="G9" s="3"/>
      <c r="H9" s="3"/>
      <c r="I9" s="3"/>
      <c r="J9" s="3"/>
      <c r="K9" s="3"/>
      <c r="L9" s="3"/>
      <c r="M9" s="3"/>
      <c r="N9" s="3"/>
      <c r="O9" s="3"/>
      <c r="P9" s="3"/>
      <c r="Q9" s="3"/>
      <c r="R9" s="3"/>
      <c r="S9" s="3"/>
      <c r="T9" s="3"/>
      <c r="U9" s="3"/>
      <c r="V9" s="3"/>
      <c r="W9" s="3"/>
      <c r="X9" s="3"/>
    </row>
    <row r="10" spans="1:24" ht="18" customHeight="1" x14ac:dyDescent="0.3">
      <c r="A10" s="287" t="s">
        <v>157</v>
      </c>
      <c r="B10" s="287"/>
      <c r="C10" s="287"/>
      <c r="D10" s="287"/>
      <c r="E10" s="287"/>
      <c r="F10" s="287"/>
      <c r="G10" s="287"/>
      <c r="H10" s="287"/>
      <c r="I10" s="287"/>
      <c r="J10" s="287"/>
      <c r="K10" s="287"/>
      <c r="L10" s="287"/>
      <c r="M10" s="287"/>
      <c r="N10" s="287"/>
      <c r="O10" s="287"/>
      <c r="P10" s="287"/>
      <c r="Q10" s="287"/>
      <c r="R10" s="287"/>
      <c r="S10" s="287"/>
      <c r="T10" s="287"/>
      <c r="U10" s="287"/>
      <c r="V10" s="287"/>
      <c r="W10" s="287"/>
      <c r="X10" s="287"/>
    </row>
    <row r="11" spans="1:24" ht="18" customHeight="1" x14ac:dyDescent="0.3">
      <c r="A11" s="288" t="s">
        <v>158</v>
      </c>
      <c r="B11" s="288"/>
      <c r="C11" s="288"/>
      <c r="D11" s="288"/>
      <c r="E11" s="288"/>
      <c r="F11" s="288"/>
      <c r="G11" s="288" t="s">
        <v>159</v>
      </c>
      <c r="H11" s="288"/>
      <c r="I11" s="288"/>
      <c r="J11" s="288"/>
      <c r="K11" s="288"/>
      <c r="L11" s="288"/>
      <c r="M11" s="288" t="s">
        <v>160</v>
      </c>
      <c r="N11" s="288"/>
      <c r="O11" s="288"/>
      <c r="P11" s="288"/>
      <c r="Q11" s="288"/>
      <c r="R11" s="288"/>
      <c r="S11" s="288" t="s">
        <v>161</v>
      </c>
      <c r="T11" s="288"/>
      <c r="U11" s="288"/>
      <c r="V11" s="288"/>
      <c r="W11" s="288"/>
      <c r="X11" s="288"/>
    </row>
    <row r="12" spans="1:24" ht="9.9" customHeight="1" x14ac:dyDescent="0.3">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3">
      <c r="A13" s="267" t="s">
        <v>162</v>
      </c>
      <c r="B13" s="267"/>
      <c r="C13" s="267"/>
      <c r="D13" s="267"/>
      <c r="E13" s="267"/>
      <c r="F13" s="267"/>
      <c r="G13" s="267"/>
      <c r="H13" s="267"/>
      <c r="I13" s="267"/>
      <c r="J13" s="267" t="s">
        <v>153</v>
      </c>
      <c r="K13" s="267"/>
      <c r="L13" s="267"/>
      <c r="M13" s="267"/>
      <c r="N13" s="267"/>
      <c r="O13" s="267"/>
      <c r="P13" s="267" t="s">
        <v>154</v>
      </c>
      <c r="Q13" s="267"/>
      <c r="R13" s="267"/>
      <c r="S13" s="267"/>
      <c r="T13" s="267"/>
      <c r="U13" s="267"/>
      <c r="V13" s="267"/>
      <c r="W13" s="267"/>
      <c r="X13" s="267"/>
    </row>
    <row r="14" spans="1:24" ht="18" customHeight="1" x14ac:dyDescent="0.3">
      <c r="A14" s="274"/>
      <c r="B14" s="274"/>
      <c r="C14" s="274"/>
      <c r="D14" s="274"/>
      <c r="E14" s="274"/>
      <c r="F14" s="274"/>
      <c r="G14" s="274"/>
      <c r="H14" s="274"/>
      <c r="I14" s="274"/>
      <c r="J14" s="275" t="s">
        <v>163</v>
      </c>
      <c r="K14" s="276"/>
      <c r="L14" s="276"/>
      <c r="M14" s="276"/>
      <c r="N14" s="276"/>
      <c r="O14" s="277"/>
      <c r="P14" s="275" t="s">
        <v>164</v>
      </c>
      <c r="Q14" s="276"/>
      <c r="R14" s="276"/>
      <c r="S14" s="276"/>
      <c r="T14" s="276"/>
      <c r="U14" s="276"/>
      <c r="V14" s="276"/>
      <c r="W14" s="276"/>
      <c r="X14" s="277"/>
    </row>
    <row r="15" spans="1:24" ht="9.9" customHeight="1" x14ac:dyDescent="0.3">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3">
      <c r="A16" s="278" t="s">
        <v>165</v>
      </c>
      <c r="B16" s="278"/>
      <c r="C16" s="278"/>
      <c r="D16" s="278"/>
      <c r="E16" s="278"/>
      <c r="F16" s="278"/>
      <c r="G16" s="278"/>
      <c r="H16" s="278"/>
      <c r="I16" s="278"/>
      <c r="J16" s="279" t="s">
        <v>166</v>
      </c>
      <c r="K16" s="279"/>
      <c r="L16" s="279"/>
      <c r="M16" s="279"/>
      <c r="N16" s="278" t="s">
        <v>167</v>
      </c>
      <c r="O16" s="278"/>
      <c r="P16" s="278"/>
      <c r="Q16" s="278"/>
      <c r="R16" s="278"/>
      <c r="S16" s="278"/>
      <c r="T16" s="280" t="s">
        <v>168</v>
      </c>
      <c r="U16" s="280"/>
      <c r="V16" s="280"/>
      <c r="W16" s="280"/>
      <c r="X16" s="280"/>
    </row>
    <row r="17" spans="1:24" ht="18" customHeight="1" x14ac:dyDescent="0.3">
      <c r="A17" s="268" t="s">
        <v>169</v>
      </c>
      <c r="B17" s="269"/>
      <c r="C17" s="269"/>
      <c r="D17" s="269"/>
      <c r="E17" s="269"/>
      <c r="F17" s="269"/>
      <c r="G17" s="269"/>
      <c r="H17" s="269"/>
      <c r="I17" s="270"/>
      <c r="J17" s="281" t="s">
        <v>170</v>
      </c>
      <c r="K17" s="282"/>
      <c r="L17" s="282"/>
      <c r="M17" s="283"/>
      <c r="N17" s="268" t="s">
        <v>171</v>
      </c>
      <c r="O17" s="269"/>
      <c r="P17" s="269"/>
      <c r="Q17" s="269"/>
      <c r="R17" s="269"/>
      <c r="S17" s="270"/>
      <c r="T17" s="268" t="s">
        <v>172</v>
      </c>
      <c r="U17" s="269"/>
      <c r="V17" s="269"/>
      <c r="W17" s="269"/>
      <c r="X17" s="270"/>
    </row>
    <row r="18" spans="1:24" ht="48.75" customHeight="1" x14ac:dyDescent="0.3">
      <c r="A18" s="271"/>
      <c r="B18" s="272"/>
      <c r="C18" s="272"/>
      <c r="D18" s="272"/>
      <c r="E18" s="272"/>
      <c r="F18" s="272"/>
      <c r="G18" s="272"/>
      <c r="H18" s="272"/>
      <c r="I18" s="273"/>
      <c r="J18" s="284"/>
      <c r="K18" s="285"/>
      <c r="L18" s="285"/>
      <c r="M18" s="286"/>
      <c r="N18" s="271"/>
      <c r="O18" s="272"/>
      <c r="P18" s="272"/>
      <c r="Q18" s="272"/>
      <c r="R18" s="272"/>
      <c r="S18" s="273"/>
      <c r="T18" s="271"/>
      <c r="U18" s="272"/>
      <c r="V18" s="272"/>
      <c r="W18" s="272"/>
      <c r="X18" s="273"/>
    </row>
    <row r="19" spans="1:24" ht="39" customHeight="1" x14ac:dyDescent="0.3"/>
    <row r="20" spans="1:24" ht="39" customHeight="1" x14ac:dyDescent="0.3"/>
    <row r="21" spans="1:24" x14ac:dyDescent="0.3">
      <c r="A21" s="266" t="s">
        <v>173</v>
      </c>
      <c r="B21" s="266"/>
      <c r="C21" s="266"/>
      <c r="D21" s="266"/>
      <c r="E21" s="266"/>
      <c r="F21" s="266"/>
      <c r="G21" s="266"/>
      <c r="H21" s="266"/>
      <c r="I21" s="5"/>
      <c r="J21" s="266" t="s">
        <v>89</v>
      </c>
      <c r="K21" s="266"/>
      <c r="L21" s="266"/>
      <c r="M21" s="266"/>
      <c r="N21" s="266"/>
      <c r="O21" s="266"/>
      <c r="P21" s="266"/>
      <c r="Q21" s="6"/>
      <c r="R21" s="266" t="s">
        <v>174</v>
      </c>
      <c r="S21" s="266"/>
      <c r="T21" s="266"/>
      <c r="U21" s="266"/>
      <c r="V21" s="266"/>
      <c r="W21" s="266"/>
      <c r="X21" s="266"/>
    </row>
    <row r="23" spans="1:24" ht="38.25" customHeight="1" x14ac:dyDescent="0.3">
      <c r="P23" s="263" t="s">
        <v>175</v>
      </c>
      <c r="Q23" s="263"/>
      <c r="R23" s="263"/>
      <c r="S23" s="263"/>
      <c r="T23" s="263"/>
      <c r="U23" s="264" t="s">
        <v>176</v>
      </c>
      <c r="V23" s="264"/>
      <c r="W23" s="264"/>
      <c r="X23" s="264"/>
    </row>
    <row r="24" spans="1:24" ht="38.25" customHeight="1" x14ac:dyDescent="0.3">
      <c r="P24" s="263" t="s">
        <v>177</v>
      </c>
      <c r="Q24" s="263"/>
      <c r="R24" s="263"/>
      <c r="S24" s="263"/>
      <c r="T24" s="263"/>
      <c r="U24" s="265" t="s">
        <v>178</v>
      </c>
      <c r="V24" s="265"/>
      <c r="W24" s="265"/>
      <c r="X24" s="265"/>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4" ma:contentTypeDescription="Crear nuevo documento." ma:contentTypeScope="" ma:versionID="95cfff668db4ca1e5f6e9375137a4a8e">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6912f17aaadcd6a9684df23b147afc35"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element ref="ns2:_x0031_01000547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_x0031_010005470" ma:index="31" nillable="true" ma:displayName="1010005470" ma:format="Dropdown" ma:list="UserInfo" ma:SharePointGroup="0" ma:internalName="_x0031_01000547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_x0031_010005470 xmlns="edbb1c21-1b45-407e-8894-c97732534993">
      <UserInfo>
        <DisplayName/>
        <AccountId xsi:nil="true"/>
        <AccountType/>
      </UserInfo>
    </_x0031_010005470>
    <FechayHora xmlns="edbb1c21-1b45-407e-8894-c97732534993" xsi:nil="true"/>
  </documentManagement>
</p:properties>
</file>

<file path=customXml/itemProps1.xml><?xml version="1.0" encoding="utf-8"?>
<ds:datastoreItem xmlns:ds="http://schemas.openxmlformats.org/officeDocument/2006/customXml" ds:itemID="{2FFAC935-8881-451D-93ED-25958414B4DF}">
  <ds:schemaRefs>
    <ds:schemaRef ds:uri="http://schemas.microsoft.com/sharepoint/v3/contenttype/forms"/>
  </ds:schemaRefs>
</ds:datastoreItem>
</file>

<file path=customXml/itemProps2.xml><?xml version="1.0" encoding="utf-8"?>
<ds:datastoreItem xmlns:ds="http://schemas.openxmlformats.org/officeDocument/2006/customXml" ds:itemID="{2E0DC6A2-D4C3-4E6B-B67E-9AED22EC48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bb1c21-1b45-407e-8894-c97732534993"/>
    <ds:schemaRef ds:uri="41dd0a9e-964d-48c8-9389-7445c2a18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D99F47-C05E-4B8B-A445-C498A7984441}">
  <ds:schemaRefs>
    <ds:schemaRef ds:uri="http://schemas.microsoft.com/office/2006/metadata/properties"/>
    <ds:schemaRef ds:uri="http://schemas.microsoft.com/office/infopath/2007/PartnerControls"/>
    <ds:schemaRef ds:uri="http://schemas.microsoft.com/sharepoint/v3"/>
    <ds:schemaRef ds:uri="41dd0a9e-964d-48c8-9389-7445c2a187f7"/>
    <ds:schemaRef ds:uri="edbb1c21-1b45-407e-8894-c977325349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Bitacora</vt:lpstr>
      <vt:lpstr>BD_SENA</vt:lpstr>
      <vt:lpstr>Hoja1</vt:lpstr>
      <vt:lpstr>Instructivo</vt:lpstr>
      <vt:lpstr>Bitacora!Área_de_impresión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Diego Tapia Salazar</cp:lastModifiedBy>
  <cp:revision/>
  <dcterms:created xsi:type="dcterms:W3CDTF">2012-05-30T19:45:02Z</dcterms:created>
  <dcterms:modified xsi:type="dcterms:W3CDTF">2026-08-10T01:34:13Z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y fmtid="{D5CDD505-2E9C-101B-9397-08002B2CF9AE}" pid="10" name="MediaServiceImageTags">
    <vt:lpwstr/>
  </property>
</Properties>
</file>