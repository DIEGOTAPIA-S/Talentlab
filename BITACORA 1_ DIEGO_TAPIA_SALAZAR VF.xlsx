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 Castañeda\Downloads\"/>
    </mc:Choice>
  </mc:AlternateContent>
  <xr:revisionPtr revIDLastSave="0" documentId="13_ncr:1_{5CE38C5F-2F3F-4316-90F9-BC661E2435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tacora" sheetId="6" r:id="rId1"/>
    <sheet name="BD_SENA" sheetId="9" state="hidden" r:id="rId2"/>
    <sheet name="Hoja1" sheetId="7" state="hidden" r:id="rId3"/>
    <sheet name="Instructivo" sheetId="4" state="hidden" r:id="rId4"/>
  </sheets>
  <externalReferences>
    <externalReference r:id="rId5"/>
  </externalReferences>
  <definedNames>
    <definedName name="_xlnm.Print_Area" localSheetId="0">Bitacora!$A$1:$I$81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 a="1"/>
  <c r="F2" i="9" s="1"/>
  <c r="K2" i="9" a="1"/>
  <c r="K2" i="9" s="1"/>
  <c r="J2" i="9" a="1"/>
  <c r="J2" i="9" s="1"/>
  <c r="I2" i="9" a="1"/>
  <c r="I2" i="9" s="1"/>
  <c r="H2" i="9" a="1"/>
  <c r="H2" i="9" s="1"/>
  <c r="G2" i="9" a="1"/>
  <c r="G2" i="9" s="1"/>
  <c r="E2" i="9" a="1"/>
  <c r="E2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<sst xmlns="http://schemas.openxmlformats.org/spreadsheetml/2006/main" count="264" uniqueCount="192">
  <si>
    <t>Código: 
GFPI-F-147</t>
  </si>
  <si>
    <t>Versión: 05</t>
  </si>
  <si>
    <t>PROCESO</t>
  </si>
  <si>
    <t>GESTIÓN DE FORMACIÓN PROFESIONAL INTEGRAL</t>
  </si>
  <si>
    <t xml:space="preserve">NOMBRE DEL FORMATO </t>
  </si>
  <si>
    <t>FORMATO BITÁCORA DE SEGUIMIENTO ETAPA PRODUCTIVA</t>
  </si>
  <si>
    <t>CLASIFICACIÓN DE LA INFORMACIÓN</t>
  </si>
  <si>
    <t>Pública</t>
  </si>
  <si>
    <t>Pública Clasificada</t>
  </si>
  <si>
    <t>Pública Reservada</t>
  </si>
  <si>
    <t>Bitácora N°</t>
  </si>
  <si>
    <t>Período a reportar</t>
  </si>
  <si>
    <t>Datos del aprendiz</t>
  </si>
  <si>
    <t>Nombre completo del aprendiz</t>
  </si>
  <si>
    <t>Tipo de documento</t>
  </si>
  <si>
    <t>Número de identificación</t>
  </si>
  <si>
    <t>Contacto telefónico</t>
  </si>
  <si>
    <t>Correo electrónico institucional</t>
  </si>
  <si>
    <t>Correo electrónico personal</t>
  </si>
  <si>
    <t>Dirección de residencia</t>
  </si>
  <si>
    <t>Número de grupo</t>
  </si>
  <si>
    <t xml:space="preserve">Modalidad de formación </t>
  </si>
  <si>
    <t>Programa de formación</t>
  </si>
  <si>
    <t>Modalidad de ejecución de la etapa productiva (presencial o virtual)</t>
  </si>
  <si>
    <t>¿Realiza la etapa productiva  con una entidad u organización en el  exterior? (si o no)</t>
  </si>
  <si>
    <t>País donde realiza la etapa productiva</t>
  </si>
  <si>
    <t>Datos del  ente co-formador</t>
  </si>
  <si>
    <t>Nombre de la entidad, empresa, institución u organización donde está realizando la etapa productiva</t>
  </si>
  <si>
    <t>NIT</t>
  </si>
  <si>
    <t xml:space="preserve">Dirección de la entidad, empresa, institución u organización </t>
  </si>
  <si>
    <t>Datos de la persona encargada del proceso formativo del aprendiz en la entidad co-formadora</t>
  </si>
  <si>
    <t>Nombre completo del ente co-formador (Jefe inmediato/Supervisor)</t>
  </si>
  <si>
    <t xml:space="preserve">Cargo del ente co-formador </t>
  </si>
  <si>
    <t>Contacto telefónico del ente co-formador</t>
  </si>
  <si>
    <t>Correo electrónico del ente co-formador</t>
  </si>
  <si>
    <t>Datos del instructor de seguimiento</t>
  </si>
  <si>
    <t>Nombre completo del instructor de seguimiento</t>
  </si>
  <si>
    <t>Correo electrónico del instructor de seguimiento</t>
  </si>
  <si>
    <t>Seleccione con una "X" la alternativa de etapa productiva que está realizando</t>
  </si>
  <si>
    <t>Alternativa de etapa productiva</t>
  </si>
  <si>
    <t xml:space="preserve">Marque con una X	</t>
  </si>
  <si>
    <t xml:space="preserve">Marquen con una X	</t>
  </si>
  <si>
    <t>Contrato de aprendizaje</t>
  </si>
  <si>
    <t>Monitoria</t>
  </si>
  <si>
    <t>Proyecto productivo</t>
  </si>
  <si>
    <t>Contrato de vínculo formativo</t>
  </si>
  <si>
    <t>Vínculo laboral</t>
  </si>
  <si>
    <t xml:space="preserve">Descripción de las actividades realizadas </t>
  </si>
  <si>
    <r>
      <rPr>
        <b/>
        <sz val="11"/>
        <color rgb="FFFFFFFF"/>
        <rFont val="Calibri"/>
        <family val="2"/>
      </rPr>
      <t xml:space="preserve">Descripción de la actividad
</t>
    </r>
    <r>
      <rPr>
        <b/>
        <i/>
        <sz val="11"/>
        <color rgb="FFFFFFFF"/>
        <rFont val="Calibri"/>
        <family val="2"/>
      </rPr>
      <t>(Ingrese cuantas filas sean necesarias)</t>
    </r>
  </si>
  <si>
    <t>Competencias del programa de formación aplicadas en el desarrollo de la actividad</t>
  </si>
  <si>
    <t>Fecha de inicio
(dd/mm/aa)</t>
  </si>
  <si>
    <t>Fecha de fin
(dd/mm/aa)</t>
  </si>
  <si>
    <r>
      <rPr>
        <b/>
        <sz val="11"/>
        <color rgb="FFFFFFFF"/>
        <rFont val="Calibri"/>
        <family val="2"/>
      </rPr>
      <t>Evidencia de cumplimiento 
(</t>
    </r>
    <r>
      <rPr>
        <b/>
        <i/>
        <sz val="11"/>
        <color rgb="FFFFFFFF"/>
        <rFont val="Calibri"/>
        <family val="2"/>
      </rPr>
      <t>Indique si corresponde a un documento, proceso, producto, entregable u otro</t>
    </r>
    <r>
      <rPr>
        <b/>
        <sz val="11"/>
        <color rgb="FFFFFFFF"/>
        <rFont val="Calibri"/>
        <family val="2"/>
      </rPr>
      <t>) 
En anexo puede fortalecer la evidencia si es el caso.</t>
    </r>
  </si>
  <si>
    <t>Observaciones, inasistencias, dificultades presentadas, y/o comentarios realizados por el aprendiz y/o jefe inmediato</t>
  </si>
  <si>
    <t xml:space="preserve">Información afiliación a la ARL </t>
  </si>
  <si>
    <t xml:space="preserve">Decreto 055 de 2015, por el cual se reglamenta la afiliación de estudiantes al Sistema General de Riesgos Laborales y se dictan otras disposiciones </t>
  </si>
  <si>
    <t xml:space="preserve">Este espacio debe ser siempre diligenciado. </t>
  </si>
  <si>
    <t>Artículo 11. Obligaciones de la institución de educación. Corresponde a las instituciones de educación a las que pertenezcan los estudiantes, que deban ser afiliados al Sistema General de Riesgos Laborales de conformidad con el presente decreto:</t>
  </si>
  <si>
    <t>1. Revisar periódicamente que el estudiante en práctica desarrolle labores relacionadas exclusivamente con su programa de formación o educación, que ameritaron su afiliación al Sistema General de Riesgos Laborales.</t>
  </si>
  <si>
    <t xml:space="preserve">2. Verificar que el espacio de práctica cuente con los elementos de protección personal apropiados según el riesgo ocupacional. </t>
  </si>
  <si>
    <t>¿El aprendiz se encuentra afiliado a la ARL?</t>
  </si>
  <si>
    <t>Indique el nivel de riesgo actual</t>
  </si>
  <si>
    <t>¿El nivel de riesgo de la ARL corresponde a las actividades que desarrolla el  aprendiz en la empresa?</t>
  </si>
  <si>
    <t>¿El aprendiz cuenta con los elementos de protección personal (EPP), requeridos para desarrollar su etapa productiva?</t>
  </si>
  <si>
    <r>
      <rPr>
        <b/>
        <i/>
        <sz val="11"/>
        <color rgb="FF000000"/>
        <rFont val="Calibri"/>
        <family val="2"/>
      </rPr>
      <t xml:space="preserve">Aprendiz: </t>
    </r>
    <r>
      <rPr>
        <i/>
        <sz val="11"/>
        <color rgb="FF000000"/>
        <rFont val="Calibri"/>
        <family val="2"/>
      </rPr>
      <t>recuerde diligenciar completamente el formato de bitácora y entregarlo o cargarlo al espacio asignado para este</t>
    </r>
  </si>
  <si>
    <t>Firma del aprendiz</t>
  </si>
  <si>
    <t>Fecha entrega bitácora</t>
  </si>
  <si>
    <t>Firma del instructor de seguimiento</t>
  </si>
  <si>
    <t>Firma del ente co-formador</t>
  </si>
  <si>
    <r>
      <rPr>
        <b/>
        <sz val="11"/>
        <color rgb="FF000000"/>
        <rFont val="Calibri"/>
        <family val="2"/>
      </rPr>
      <t>Nota:</t>
    </r>
    <r>
      <rPr>
        <sz val="11"/>
        <color rgb="FF000000"/>
        <rFont val="Calibri"/>
        <family val="2"/>
      </rPr>
      <t xml:space="preserve">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</r>
  </si>
  <si>
    <t xml:space="preserve">Anexo: 
Es opcional relacionar evidencia fotográfica de las actividades desarrolladas </t>
  </si>
  <si>
    <t xml:space="preserve"> (No aplica documentos de la empresa u otros aspectos sensibles)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</si>
  <si>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</si>
  <si>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</si>
  <si>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</si>
  <si>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</si>
  <si>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</si>
  <si>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</si>
  <si>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Teléfono de contacto</t>
  </si>
  <si>
    <t>Correo electrónico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</si>
  <si>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</si>
  <si>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</si>
  <si>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</si>
  <si>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</si>
  <si>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</si>
  <si>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</si>
  <si>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</si>
  <si>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Nombre del aprendiz</t>
  </si>
  <si>
    <t>Telefono del aprendiz</t>
  </si>
  <si>
    <t>Correo electrónico del aprendiz</t>
  </si>
  <si>
    <t>DESCRIPCION DE LA ACTIVIDAD</t>
  </si>
  <si>
    <t>PERIODO / MES</t>
  </si>
  <si>
    <t>EVIDENCIA DE CUMPLIMIENTO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</si>
  <si>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</si>
  <si>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</si>
  <si>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</si>
  <si>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</si>
  <si>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</si>
  <si>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</si>
  <si>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</si>
  <si>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</si>
  <si>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</si>
  <si>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</si>
  <si>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</si>
  <si>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SERGIO ANDRES TORRES MARTINEZ</t>
  </si>
  <si>
    <t>satorres@sena.edu.co   /    storres@timespanish.com</t>
  </si>
  <si>
    <t>PROGRAMA</t>
  </si>
  <si>
    <t>COMPETENCIA</t>
  </si>
  <si>
    <t>RESULTADO DE APRENDIZAJE (RAP)</t>
  </si>
  <si>
    <t>Análisis y Desarrollo de Software</t>
  </si>
  <si>
    <t>38392 - Establecer requisitos de la solución de software de acuerdo con estándares y procedimiento técnico</t>
  </si>
  <si>
    <t>38376 - Evaluar requisitos de la solución de software de acuerdo con metodologías de análisis y estándares</t>
  </si>
  <si>
    <t>38362 - Diseñar la solución de software de acuerdo con procedimientos y requisitos técnicos</t>
  </si>
  <si>
    <t>38368 - Desarrollar la solución de software de acuerdo con el diseño y metodologías de desarrollo</t>
  </si>
  <si>
    <t>38369 - Controlar la calidad del servicio de software de acuerdo con los estándares técnicos</t>
  </si>
  <si>
    <t>38367 - Estructurar propuesta técnica de servicio de tecnología de la información según requisitos técnicos y normativa</t>
  </si>
  <si>
    <t>38356 - Implementar la solución de software de acuerdo con los requisitos de operación y modelos de referencia</t>
  </si>
  <si>
    <t>Programación de Software</t>
  </si>
  <si>
    <t>220501095 - Construir el sistema de información de acuerdo con el diseño y estándares técnicos</t>
  </si>
  <si>
    <t>220501096 - Verificar la calidad del software de acuerdo con el plan de pruebas y estándares</t>
  </si>
  <si>
    <t>220501097 - Desplegar la solución de software de acuerdo con los requisitos de operación y modelos de referencia</t>
  </si>
  <si>
    <t>220501101 - Probar el software desarrollado de acuerdo con el plan de pruebas y especificaciones del cliente</t>
  </si>
  <si>
    <t>37371 - Utilizar herramientas informáticas de acuerdo con las necesidades de manejo de información</t>
  </si>
  <si>
    <t>593346 - 01 CARACTERIZAR LOS PROCESOS DE LA ORGANIZACIÓN DE ACUERDO CON EL SOFTWARE A CONSTRUIR</t>
  </si>
  <si>
    <t>593345 - 04 VALIDAR EL INFORME DE REQUISITOS DE ACUERDO CON LAS NECESIDADES DEL CLIENTE</t>
  </si>
  <si>
    <t>593344 - 02 RECOLECTAR INFORMACIÓN DEL SOFTWARE A CONSTRUIR DE ACUERDO CON LAS NECESIDADES DEL CLIENTE</t>
  </si>
  <si>
    <t>38392 - 03 ESTABLECER LOS REQUISITOS DEL SOFTWARE DE ACUERDO CON LA INFORMACIÓN RECOLECTADA</t>
  </si>
  <si>
    <t>592375 - 01 PLANEAR ACTIVIDADES DE ANÁLISIS DE ACUERDO CON LA METODOLOGÍA SELECCIONADA</t>
  </si>
  <si>
    <t>592374 - 04 VERIFICAR LOS MODELOS REALIZADOS EN LA FASE DE ANÁLISIS DE ACUERDO CON LO ESTABLECIDO EN EL INFORME DE REQUISITOS</t>
  </si>
  <si>
    <t>592376 - 03 DESARROLLAR PROCESOS LÓGICOS A TRAVÉS DE LA IMPLEMENTACIÓN DE ALGORITMOS</t>
  </si>
  <si>
    <t>592373 - 02 MODELAR LAS FUNCIONES DEL SOFTWARE DE ACUERDO CON EL INFORME DE REQUISITOS</t>
  </si>
  <si>
    <t>593101 - 02 ESTRUCTURAR EL MODELO DE DATOS DEL SOFTWARE DE ACUERDO CON LAS ESPECIFICACIONES DEL ANÁLISIS</t>
  </si>
  <si>
    <t>593103 - 01 ELABORAR LOS ARTEFACTOS DE DISEÑO DEL SOFTWARE SIGUIENDO LAS PRÁCTICAS DE LA METODOLOGÍA SELECCIONADA</t>
  </si>
  <si>
    <t>593102 - 04 VERIFICAR LOS ENTREGABLES DE LA FASE DE DISEÑO DEL SOFTWARE DE ACUERDO CON LO ESTABLECIDO EN EL INFORME DE ANÁLISIS</t>
  </si>
  <si>
    <t>593100 - 03 DETERMINAR LAS CARACTERÍSTICAS TÉCNICAS DE LA INTERFAZ GRÁFICA DEL SOFTWARE ADOPTANDO ESTÁNDARES</t>
  </si>
  <si>
    <t>593107 - 02 CONSTRUIR LA BASE DE DATOS PARA EL SOFTWARE A PARTIR DEL MODELO DE DATOS</t>
  </si>
  <si>
    <t>593106 - 01 PLANEAR ACTIVIDADES DE CONSTRUCCIÓN DEL SOFTWARE DE ACUERDO CON EL DISEÑO ESTABLECIDO</t>
  </si>
  <si>
    <t>593104 - 03 CREAR COMPONENTES FRONT-END DEL SOFTWARE DE ACUERDO CON EL DISEÑO</t>
  </si>
  <si>
    <t>593108 - 04 CODIFICAR EL SOFTWARE DE ACUERDO CON EL DISEÑO ESTABLECIDO</t>
  </si>
  <si>
    <t>593105 - 05 REALIZAR PRUEBAS AL SOFTWARE PARA VERIFICAR SU FUNCIONALIDAD</t>
  </si>
  <si>
    <t>593146 - 01 INCORPORAR ACTIVIDADES DE ASEGURAMIENTO DE LA CALIDAD DEL SOFTWARE DE ACUERDO CON ESTÁNDARES DE LA INDUSTRIA</t>
  </si>
  <si>
    <t>593144 - 02 VERIFICAR LA CALIDAD DEL SOFTWARE DE ACUERDO CON LAS PRÁCTICAS ASOCIADAS EN LOS PROCESOS DE DESARROLLO</t>
  </si>
  <si>
    <t>593145 - 03 REALIZAR ACTIVIDADES DE MEJORA DE LA CALIDAD DEL SOFTWARE A PARTIR DE LOS RESULTADOS DE LA VERIFICACIÓN</t>
  </si>
  <si>
    <t>593060 - 01 DEFINIR ESPECIFICACIONES TÉCNICAS DEL SOFTWARE DE ACUERDO CON LAS CARACTERÍSTICAS DEL SOFTWARE A CONSTRUIR</t>
  </si>
  <si>
    <t>593062 - 02 ELABORAR PROPUESTA TÉCNICA DEL SOFTWARE DE ACUERDO CON LAS ESPECIFICACIONES TÉCNICAS DEFINIDAS</t>
  </si>
  <si>
    <t>593111 - 01 PLANEAR ACTIVIDADES DE IMPLANTACIÓN DEL SOFTWARE DE ACUERDO CON LAS CONDICIONES DEL SISTEMA</t>
  </si>
  <si>
    <t>593109 - 03 DOCUMENTAR EL PROCESO DE IMPLANTACIÓN DE SOFTWARE SIGUIENDO ESTÁNDARES DE CALIDAD</t>
  </si>
  <si>
    <t>593112 - 04 IMPLANTAR EL SOFTWARE DE ACUERDO CON LOS NIVELES DE SERVICIO ESTABLECIDOS CON EL CLIENTE</t>
  </si>
  <si>
    <t>593110 - 02 DESPLEGAR EL SOFTWARE DE ACUERDO CON LA ARQUITECTURA Y LAS POLÍTICAS ESTABLECIDAS</t>
  </si>
  <si>
    <t>220501095-01 Codificar los módulos del software de acuerdo con el diseño y estándares técnicos</t>
  </si>
  <si>
    <t>220501095-02 Construir la base de datos de acuerdo con el modelo lógico y el motor seleccionado</t>
  </si>
  <si>
    <t>220501095-03 Integrar los componentes del software según la arquitectura definida</t>
  </si>
  <si>
    <t>220501095-04 Realizar las pruebas unitarias a los módulos codificados</t>
  </si>
  <si>
    <t>220501096-01 Ejecutar las pruebas de software de acuerdo con el plan establecido</t>
  </si>
  <si>
    <t>220501096-02 Reportar los defectos encontrados durante la ejecución de las pruebas</t>
  </si>
  <si>
    <t>220501096-03 Ajustar los entregables de software según los resultados de las pruebas</t>
  </si>
  <si>
    <t>220501097-01 Elaborar el plan de despliegue de la solución de software</t>
  </si>
  <si>
    <t>220501097-02 Realizar la instalación y configuración del software en el entorno productivo</t>
  </si>
  <si>
    <t>220501101-01 Validar el cumplimiento de los requisitos del software</t>
  </si>
  <si>
    <t>220501101-02 Documentar los errores y sugerencias de mejora según protocolos</t>
  </si>
  <si>
    <t>593154 - 01 ALISTAR HERRAMIENTAS DE TECNOLOGÍAS DE LA INFORMACIÓN Y LA COMUNICACIÓN (TIC), DE ACUERDO CON LAS NECESIDADES DE PROCESAMIENTO DE INFORMACIÓN Y COMUNICACIÓN</t>
  </si>
  <si>
    <t>12/05/2026 hasta 12/06/2026</t>
  </si>
  <si>
    <t>Diego Alfonso Tapia Salazar</t>
  </si>
  <si>
    <t>Cedula de ciudadania</t>
  </si>
  <si>
    <t>diegoa_tapias@soy.sena.edu.co</t>
  </si>
  <si>
    <t>diegotapia.s@hotmail.com</t>
  </si>
  <si>
    <t>Cra 80 D #7B 83 Torre 2 Apto 604</t>
  </si>
  <si>
    <t>Tecnólogo</t>
  </si>
  <si>
    <t>Presencial</t>
  </si>
  <si>
    <t>No</t>
  </si>
  <si>
    <t>Servicio Nacional de Aprendizaje - SENA</t>
  </si>
  <si>
    <t>899.999.034-01</t>
  </si>
  <si>
    <t>Carrera 13 # 65 - 10 Centro de Servicios Financieros</t>
  </si>
  <si>
    <t>John Fernando Mendez Medina</t>
  </si>
  <si>
    <t>Instructor acompañamiento etapa productiva</t>
  </si>
  <si>
    <t>jfmendez@sena.edu.co</t>
  </si>
  <si>
    <t>X</t>
  </si>
  <si>
    <t>Se realiza el análisis y diagnóstico formal del sector productivo EdTech e industria de software (CIIU) aplicable al SaaS de TalentLab, sustentado en tendencias de crecimiento y comportamiento del mercado nacional y regional. Se comienza a estructurar prototipo de solución web (Definición de modulos,  roles y accesos, etc)</t>
  </si>
  <si>
    <t>Se define el perfil del consumidor con base a la demanda planteada, con el onjetivo de indentificar nicho de mercado y estrategias para abordaje de mercado. Se define estilo y colorimetria para front de la solución web</t>
  </si>
  <si>
    <t>Si</t>
  </si>
  <si>
    <t>SI</t>
  </si>
  <si>
    <t>Documento Proyecto Talent Lab: Generalidades, descripción del proyecto.
Planeación Stack del prototipo</t>
  </si>
  <si>
    <t>Documento Proyecto Talent Lab:: Estudio de mercado , Análisis del Sector o industria
Planeación Stack del prototipo</t>
  </si>
  <si>
    <t>Documento Proyecto Talent Lab:: demanda, estimación del mercado, Definición del perfil del consumidor</t>
  </si>
  <si>
    <t>Documento Proyecto Talent Lab: Identificación segmentos de mercado y Cálculo de muestra</t>
  </si>
  <si>
    <t xml:space="preserve">Se realiza identificación de segmento de mercado, mercado objetivo y diseño de investigación e instrumento de recolección de información. Se establecen condiciones de seguridad para el uso de solución web, </t>
  </si>
  <si>
    <t>Colombia</t>
  </si>
  <si>
    <t>Se elabora el primer módulo del proyecto productivo, logrando definir y estructurar de manera coherente la identidad de TalentLab, el perfil profesional del equipo, la justificación académica/social y los objetivos estratégicos. El entregableestá aline ado con los requerimientos técnicos y metodológicos acordados. Adicionalmente definicion de stack de prototipo de solución web</t>
  </si>
  <si>
    <t>Se definió la identidad corporativa de TalentLab: nombre, misión, visión, perfil del equipo emprendedor y justificación académica y social del proyecto. Se establecieron los objetivos estratégicos y el alcance del producto. En paralelo, se tomó la decisión técnica de estructurar el prototipo con React 18 + Vite para el frontend y Python FastAPI para el backend, adoptando Supabase (PostgreSQL) como base de datos con arquitectura multi-tenant.</t>
  </si>
  <si>
    <t>Se realizó el análisis del sector EdTech e industria de software (CIIU), identificando tendencias de crecimiento del mercado SaaS en Colombia y la región. Este diagnóstico permitió validar la viabilidad del modelo de negocio. A nivel técnico, se definió la estructura de módulos del prototipo (semáforo de riesgo, simulador de entrevistas y panel institucional) y se establecieron los tres roles de usuario del sistema: administrador institucional, estudiante y mentor.</t>
  </si>
  <si>
    <t>Se delimitó el perfil del consumidor objetivo: instituciones de educación superior privadas de Bogotá, con necesidades de retención estudiantil y empleabilidad. Se identificó el nicho de mercado y se definieron estrategias de abordaje comercial B2B. Como avance técnico del prototipo, se estableció la identidad visual del frontend: paleta de colores oscura (tonos índigo), tipografía Inter/Outfit y estilo glassmorphism, materializados en las variables CSS globales del sistema de diseño React.</t>
  </si>
  <si>
    <t>Se identificaron y delimitaron los segmentos de mercado objetivo y se diseñó el instrumento de recolección de información (encuesta de 12 preguntas sobre retención y empleabilidad). Se calculó el tamaño de muestra. En cuanto al prototipo, se configuró el middleware CORS en FastAPI para la comunicación con el cliente React, y se definieron los protocolos de seguridad de la plataforma: autenticación por roles y cumplimiento de la Ley 1581 de 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</si>
</sst>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i/>
      <sz val="11"/>
      <name val="Calibri"/>
      <family val="2"/>
    </font>
    <font>
      <sz val="11"/>
      <color theme="0"/>
      <name val="Calibri"/>
      <family val="2"/>
    </font>
    <font>
      <b/>
      <sz val="11"/>
      <color theme="0" tint="-0.34998626667073579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color theme="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i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 tint="0.3499862666707357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70C0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1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29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12" fillId="0" borderId="27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32" xfId="0" applyFont="1" applyBorder="1" applyAlignment="1">
      <alignment horizontal="center" vertical="center" wrapText="1"/>
    </xf>
    <xf numFmtId="0" fontId="12" fillId="0" borderId="23" xfId="0" applyFont="1" applyBorder="1" applyAlignment="1">
      <alignment vertical="center" wrapText="1"/>
    </xf>
    <xf numFmtId="0" fontId="13" fillId="0" borderId="34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44" xfId="0" applyFont="1" applyBorder="1" applyAlignment="1">
      <alignment horizontal="center" vertical="center"/>
    </xf>
    <xf numFmtId="0" fontId="27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0" fontId="31" fillId="0" borderId="0" xfId="0" applyFont="1"/>
    <xf numFmtId="0" fontId="11" fillId="7" borderId="54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33" fillId="0" borderId="0" xfId="0" applyFont="1" applyAlignment="1">
      <alignment wrapText="1"/>
    </xf>
    <xf numFmtId="0" fontId="26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7" fillId="0" borderId="92" xfId="0" applyFont="1" applyBorder="1" applyAlignment="1">
      <alignment horizontal="center" vertical="center" wrapText="1"/>
    </xf>
    <xf numFmtId="0" fontId="13" fillId="0" borderId="93" xfId="0" applyFont="1" applyBorder="1" applyAlignment="1">
      <alignment vertical="center" wrapText="1"/>
    </xf>
    <xf numFmtId="0" fontId="21" fillId="0" borderId="81" xfId="0" applyFont="1" applyBorder="1" applyAlignment="1">
      <alignment horizontal="right" vertical="center"/>
    </xf>
    <xf numFmtId="0" fontId="21" fillId="0" borderId="83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15" fontId="32" fillId="0" borderId="18" xfId="0" applyNumberFormat="1" applyFont="1" applyBorder="1" applyAlignment="1">
      <alignment horizontal="center" vertical="center" wrapText="1"/>
    </xf>
    <xf numFmtId="0" fontId="21" fillId="0" borderId="8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10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0" borderId="111" xfId="0" applyFont="1" applyBorder="1" applyAlignment="1">
      <alignment horizontal="center" vertical="center" wrapText="1"/>
    </xf>
    <xf numFmtId="0" fontId="35" fillId="0" borderId="112" xfId="0" applyFont="1" applyBorder="1" applyAlignment="1">
      <alignment horizontal="center" vertical="center" wrapText="1"/>
    </xf>
    <xf numFmtId="0" fontId="35" fillId="0" borderId="113" xfId="0" applyFont="1" applyBorder="1" applyAlignment="1">
      <alignment horizontal="center" vertical="center" wrapText="1"/>
    </xf>
    <xf numFmtId="0" fontId="35" fillId="0" borderId="114" xfId="0" applyFont="1" applyBorder="1" applyAlignment="1">
      <alignment horizontal="center" vertical="center" wrapText="1"/>
    </xf>
    <xf numFmtId="0" fontId="35" fillId="0" borderId="115" xfId="0" applyFont="1" applyBorder="1" applyAlignment="1">
      <alignment horizontal="center" vertical="center" wrapText="1"/>
    </xf>
    <xf numFmtId="0" fontId="35" fillId="0" borderId="116" xfId="0" applyFont="1" applyBorder="1" applyAlignment="1">
      <alignment horizontal="center" vertical="center" wrapText="1"/>
    </xf>
    <xf numFmtId="0" fontId="35" fillId="0" borderId="117" xfId="0" applyFont="1" applyBorder="1" applyAlignment="1">
      <alignment horizontal="center" vertical="center" wrapText="1"/>
    </xf>
    <xf numFmtId="0" fontId="35" fillId="0" borderId="119" xfId="0" applyFont="1" applyBorder="1" applyAlignment="1">
      <alignment horizontal="center" vertical="center" wrapText="1"/>
    </xf>
    <xf numFmtId="0" fontId="35" fillId="0" borderId="118" xfId="0" applyFont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38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29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30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31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2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13" fillId="0" borderId="34" xfId="0" applyFont="1" applyBorder="1" applyAlignment="1">
      <alignment horizontal="left" vertical="center" wrapText="1"/>
    </xf>
    <xf numFmtId="0" fontId="13" fillId="0" borderId="91" xfId="0" applyFont="1" applyBorder="1" applyAlignment="1">
      <alignment horizontal="left" vertical="center" wrapText="1"/>
    </xf>
    <xf numFmtId="0" fontId="13" fillId="0" borderId="120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14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22" fillId="7" borderId="87" xfId="0" applyFont="1" applyFill="1" applyBorder="1" applyAlignment="1">
      <alignment horizontal="center" vertical="center" wrapText="1"/>
    </xf>
    <xf numFmtId="0" fontId="22" fillId="7" borderId="88" xfId="0" applyFont="1" applyFill="1" applyBorder="1" applyAlignment="1">
      <alignment horizontal="center" vertical="center" wrapText="1"/>
    </xf>
    <xf numFmtId="0" fontId="22" fillId="7" borderId="14" xfId="0" applyFont="1" applyFill="1" applyBorder="1" applyAlignment="1">
      <alignment horizontal="center" vertical="center" wrapText="1"/>
    </xf>
    <xf numFmtId="0" fontId="22" fillId="7" borderId="15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36" fillId="0" borderId="93" xfId="1" applyBorder="1" applyAlignment="1">
      <alignment horizontal="center" vertical="center" wrapText="1"/>
    </xf>
    <xf numFmtId="0" fontId="13" fillId="0" borderId="9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22" fillId="7" borderId="76" xfId="0" applyFont="1" applyFill="1" applyBorder="1" applyAlignment="1">
      <alignment horizontal="center" vertical="center" wrapText="1"/>
    </xf>
    <xf numFmtId="0" fontId="22" fillId="7" borderId="16" xfId="0" applyFont="1" applyFill="1" applyBorder="1" applyAlignment="1">
      <alignment horizontal="center" vertical="center" wrapText="1"/>
    </xf>
    <xf numFmtId="0" fontId="22" fillId="7" borderId="23" xfId="0" applyFont="1" applyFill="1" applyBorder="1" applyAlignment="1">
      <alignment horizontal="center" vertical="center" wrapText="1"/>
    </xf>
    <xf numFmtId="0" fontId="36" fillId="0" borderId="71" xfId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32" fillId="2" borderId="70" xfId="0" applyFont="1" applyFill="1" applyBorder="1" applyAlignment="1">
      <alignment horizontal="center" vertical="center" wrapText="1"/>
    </xf>
    <xf numFmtId="0" fontId="32" fillId="2" borderId="74" xfId="0" applyFont="1" applyFill="1" applyBorder="1" applyAlignment="1">
      <alignment horizontal="center" vertical="center" wrapText="1"/>
    </xf>
    <xf numFmtId="0" fontId="32" fillId="2" borderId="58" xfId="0" applyFont="1" applyFill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9" fillId="6" borderId="79" xfId="0" applyFont="1" applyFill="1" applyBorder="1" applyAlignment="1">
      <alignment horizontal="center" vertical="center"/>
    </xf>
    <xf numFmtId="0" fontId="19" fillId="6" borderId="80" xfId="0" applyFont="1" applyFill="1" applyBorder="1" applyAlignment="1">
      <alignment horizontal="center" vertical="center"/>
    </xf>
    <xf numFmtId="0" fontId="19" fillId="6" borderId="103" xfId="0" applyFont="1" applyFill="1" applyBorder="1" applyAlignment="1">
      <alignment horizontal="center" vertical="center"/>
    </xf>
    <xf numFmtId="0" fontId="19" fillId="6" borderId="104" xfId="0" applyFont="1" applyFill="1" applyBorder="1" applyAlignment="1">
      <alignment horizontal="center" vertical="center"/>
    </xf>
    <xf numFmtId="0" fontId="19" fillId="6" borderId="26" xfId="0" applyFont="1" applyFill="1" applyBorder="1" applyAlignment="1">
      <alignment horizontal="center" vertical="center"/>
    </xf>
    <xf numFmtId="0" fontId="19" fillId="6" borderId="105" xfId="0" applyFont="1" applyFill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wrapText="1"/>
    </xf>
    <xf numFmtId="0" fontId="21" fillId="0" borderId="10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8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83" xfId="0" applyFont="1" applyBorder="1" applyAlignment="1">
      <alignment horizontal="center" vertical="center"/>
    </xf>
    <xf numFmtId="0" fontId="21" fillId="0" borderId="106" xfId="0" applyFont="1" applyBorder="1" applyAlignment="1">
      <alignment horizontal="center" vertical="center"/>
    </xf>
    <xf numFmtId="0" fontId="18" fillId="4" borderId="52" xfId="0" applyFont="1" applyFill="1" applyBorder="1" applyAlignment="1">
      <alignment horizontal="center" vertical="center"/>
    </xf>
    <xf numFmtId="0" fontId="18" fillId="4" borderId="58" xfId="0" applyFont="1" applyFill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11" fillId="7" borderId="60" xfId="0" applyFont="1" applyFill="1" applyBorder="1" applyAlignment="1">
      <alignment horizontal="center" vertical="center"/>
    </xf>
    <xf numFmtId="0" fontId="11" fillId="7" borderId="54" xfId="0" applyFont="1" applyFill="1" applyBorder="1" applyAlignment="1">
      <alignment horizontal="center" vertical="center"/>
    </xf>
    <xf numFmtId="0" fontId="25" fillId="0" borderId="44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36" fillId="0" borderId="48" xfId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1" fillId="7" borderId="46" xfId="0" applyFont="1" applyFill="1" applyBorder="1" applyAlignment="1">
      <alignment horizontal="center" vertical="center"/>
    </xf>
    <xf numFmtId="0" fontId="11" fillId="7" borderId="77" xfId="0" applyFont="1" applyFill="1" applyBorder="1" applyAlignment="1">
      <alignment horizontal="center" vertical="center"/>
    </xf>
    <xf numFmtId="0" fontId="11" fillId="7" borderId="78" xfId="0" applyFont="1" applyFill="1" applyBorder="1" applyAlignment="1">
      <alignment horizontal="center" vertical="center"/>
    </xf>
    <xf numFmtId="0" fontId="12" fillId="0" borderId="9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top" wrapText="1"/>
    </xf>
    <xf numFmtId="0" fontId="12" fillId="0" borderId="45" xfId="0" applyFont="1" applyBorder="1" applyAlignment="1">
      <alignment horizontal="center" vertical="top" wrapText="1"/>
    </xf>
    <xf numFmtId="0" fontId="13" fillId="0" borderId="100" xfId="0" applyFont="1" applyBorder="1" applyAlignment="1">
      <alignment horizontal="center" vertical="center" wrapText="1"/>
    </xf>
    <xf numFmtId="0" fontId="11" fillId="7" borderId="91" xfId="0" applyFont="1" applyFill="1" applyBorder="1" applyAlignment="1">
      <alignment horizontal="center" vertical="center" wrapText="1"/>
    </xf>
    <xf numFmtId="0" fontId="12" fillId="5" borderId="55" xfId="0" applyFont="1" applyFill="1" applyBorder="1" applyAlignment="1">
      <alignment horizontal="center" vertical="center" wrapText="1"/>
    </xf>
    <xf numFmtId="0" fontId="12" fillId="5" borderId="57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/>
    </xf>
    <xf numFmtId="0" fontId="11" fillId="3" borderId="66" xfId="0" applyFont="1" applyFill="1" applyBorder="1" applyAlignment="1">
      <alignment horizontal="center" vertical="center"/>
    </xf>
    <xf numFmtId="0" fontId="11" fillId="3" borderId="67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 wrapText="1"/>
    </xf>
    <xf numFmtId="0" fontId="11" fillId="7" borderId="68" xfId="0" applyFont="1" applyFill="1" applyBorder="1" applyAlignment="1">
      <alignment horizontal="center" vertical="center" wrapText="1"/>
    </xf>
    <xf numFmtId="0" fontId="11" fillId="7" borderId="47" xfId="0" applyFont="1" applyFill="1" applyBorder="1" applyAlignment="1">
      <alignment horizontal="center" vertical="center" wrapText="1"/>
    </xf>
    <xf numFmtId="0" fontId="11" fillId="7" borderId="85" xfId="0" applyFont="1" applyFill="1" applyBorder="1" applyAlignment="1">
      <alignment horizontal="center" vertical="center" wrapText="1"/>
    </xf>
    <xf numFmtId="0" fontId="11" fillId="7" borderId="86" xfId="0" applyFont="1" applyFill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25" fillId="0" borderId="100" xfId="0" applyFont="1" applyBorder="1" applyAlignment="1">
      <alignment horizontal="center" vertical="center" wrapText="1"/>
    </xf>
    <xf numFmtId="0" fontId="25" fillId="0" borderId="10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3" fillId="0" borderId="9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7" borderId="95" xfId="0" applyFont="1" applyFill="1" applyBorder="1" applyAlignment="1">
      <alignment horizontal="center" vertical="center"/>
    </xf>
    <xf numFmtId="0" fontId="11" fillId="7" borderId="96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3" fillId="0" borderId="99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1" fillId="7" borderId="89" xfId="0" applyFont="1" applyFill="1" applyBorder="1" applyAlignment="1">
      <alignment horizontal="center" vertical="center"/>
    </xf>
    <xf numFmtId="0" fontId="11" fillId="7" borderId="90" xfId="0" applyFont="1" applyFill="1" applyBorder="1" applyAlignment="1">
      <alignment horizontal="center" vertical="center"/>
    </xf>
    <xf numFmtId="0" fontId="12" fillId="5" borderId="64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66" xfId="0" applyFont="1" applyBorder="1" applyAlignment="1">
      <alignment horizontal="center" vertical="center" wrapText="1"/>
    </xf>
    <xf numFmtId="0" fontId="13" fillId="0" borderId="67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8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85" xfId="0" applyFont="1" applyBorder="1" applyAlignment="1">
      <alignment horizontal="center" vertical="center" wrapText="1"/>
    </xf>
    <xf numFmtId="0" fontId="13" fillId="0" borderId="86" xfId="0" applyFont="1" applyBorder="1" applyAlignment="1">
      <alignment horizontal="center" vertical="center" wrapText="1"/>
    </xf>
    <xf numFmtId="0" fontId="13" fillId="2" borderId="46" xfId="0" applyFont="1" applyFill="1" applyBorder="1" applyAlignment="1">
      <alignment horizontal="center" vertical="center" wrapText="1"/>
    </xf>
    <xf numFmtId="0" fontId="13" fillId="2" borderId="66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0" fontId="13" fillId="2" borderId="47" xfId="0" applyFont="1" applyFill="1" applyBorder="1" applyAlignment="1">
      <alignment horizontal="center" vertical="center" wrapText="1"/>
    </xf>
    <xf numFmtId="0" fontId="13" fillId="2" borderId="85" xfId="0" applyFont="1" applyFill="1" applyBorder="1" applyAlignment="1">
      <alignment horizontal="center" vertical="center" wrapText="1"/>
    </xf>
    <xf numFmtId="0" fontId="13" fillId="2" borderId="86" xfId="0" applyFont="1" applyFill="1" applyBorder="1" applyAlignment="1">
      <alignment horizontal="center" vertical="center" wrapText="1"/>
    </xf>
    <xf numFmtId="0" fontId="24" fillId="5" borderId="55" xfId="0" applyFont="1" applyFill="1" applyBorder="1" applyAlignment="1">
      <alignment horizontal="center" vertical="center" wrapText="1"/>
    </xf>
    <xf numFmtId="0" fontId="24" fillId="5" borderId="57" xfId="0" applyFont="1" applyFill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63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2" fillId="5" borderId="56" xfId="0" applyFont="1" applyFill="1" applyBorder="1" applyAlignment="1">
      <alignment horizontal="center" vertical="center"/>
    </xf>
    <xf numFmtId="0" fontId="12" fillId="5" borderId="64" xfId="0" applyFont="1" applyFill="1" applyBorder="1" applyAlignment="1">
      <alignment horizontal="center" vertical="center"/>
    </xf>
    <xf numFmtId="0" fontId="12" fillId="2" borderId="71" xfId="0" applyFont="1" applyFill="1" applyBorder="1" applyAlignment="1">
      <alignment horizontal="center" vertical="center" wrapText="1"/>
    </xf>
    <xf numFmtId="0" fontId="12" fillId="2" borderId="75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12" fillId="2" borderId="102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17" fillId="0" borderId="108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5" fillId="0" borderId="0" xfId="0" applyFont="1" applyAlignment="1">
      <alignment horizontal="right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0">
    <dxf>
      <fill>
        <patternFill>
          <bgColor rgb="FFE1EF57"/>
        </patternFill>
      </fill>
    </dxf>
    <dxf>
      <fill>
        <patternFill>
          <bgColor rgb="FF92D050"/>
        </patternFill>
      </fill>
    </dxf>
    <dxf>
      <fill>
        <patternFill>
          <bgColor rgb="FFE2ED5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9" defaultPivotStyle="PivotStyleLight16"/>
  <colors>
    <mruColors>
      <color rgb="FFCD03A7"/>
      <color rgb="FFE1EF57"/>
      <color rgb="FFE6DE74"/>
      <color rgb="FFDEE16D"/>
      <color rgb="FFE9E96D"/>
      <color rgb="FFE6E95D"/>
      <color rgb="FFE2ED51"/>
      <color rgb="FFFC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198053</xdr:colOff>
      <xdr:row>0</xdr:row>
      <xdr:rowOff>31303</xdr:rowOff>
    </xdr:from>
    <xdr:to>
      <xdr:col>5</xdr:col>
      <xdr:colOff>895655</xdr:colOff>
      <xdr:row>1</xdr:row>
      <xdr:rowOff>311795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00CC92-0015-4CE3-A33B-B1A9AF53B1A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6115459" y="31303"/>
          <a:ext cx="697602" cy="64958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80</xdr:row>
      <xdr:rowOff>128842</xdr:rowOff>
    </xdr:from>
    <xdr:to>
      <xdr:col>3</xdr:col>
      <xdr:colOff>241300</xdr:colOff>
      <xdr:row>80</xdr:row>
      <xdr:rowOff>2685225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17E64D-FC43-8FE0-1939-4E8112912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601" y="24868442"/>
          <a:ext cx="4724399" cy="2556383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80</xdr:row>
      <xdr:rowOff>153712</xdr:rowOff>
    </xdr:from>
    <xdr:to>
      <xdr:col>6</xdr:col>
      <xdr:colOff>678031</xdr:colOff>
      <xdr:row>80</xdr:row>
      <xdr:rowOff>2476500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DD4E43D-C0CE-C399-07A0-A91389DFA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7800" y="24893312"/>
          <a:ext cx="4742031" cy="2322788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889000</xdr:colOff>
      <xdr:row>80</xdr:row>
      <xdr:rowOff>153712</xdr:rowOff>
    </xdr:from>
    <xdr:to>
      <xdr:col>8</xdr:col>
      <xdr:colOff>2247900</xdr:colOff>
      <xdr:row>80</xdr:row>
      <xdr:rowOff>2846817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AA9210C-590C-5D8E-3EDF-C2DCE800A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10800" y="24893312"/>
          <a:ext cx="5283200" cy="26931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Visita%201%20GFPI-F023.xlsx" TargetMode="External"/><Relationship Id="rId1" Type="http://schemas.openxmlformats.org/officeDocument/2006/relationships/externalLinkPath" Target="Visita%201%20GFPI-F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 Visita 1"/>
      <sheetName val="BD_SENA"/>
    </sheetNames>
    <sheetDataSet>
      <sheetData sheetId="0">
        <row r="50">
          <cell r="C50" t="str">
            <v>38392 - Establecer requisitos de la solución de software de acuerdo con estándares y procedimiento técnico</v>
          </cell>
        </row>
        <row r="51">
          <cell r="C51" t="str">
            <v>38362 - Diseñar la solución de software de acuerdo con procedimientos y requisitos técnicos</v>
          </cell>
        </row>
        <row r="52">
          <cell r="C52" t="str">
            <v>38368 - Desarrollar la solución de software de acuerdo con el diseño y metodologías de desarrollo</v>
          </cell>
        </row>
        <row r="53">
          <cell r="C53" t="str">
            <v>38367 - Estructurar propuesta técnica de servicio de tecnología de la información según requisitos técnicos y normativa</v>
          </cell>
        </row>
        <row r="54">
          <cell r="C54" t="str">
            <v>38376 - Evaluar requisitos de la solución de software de acuerdo con metodologías de análisis y estándares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010CAF-386D-41BE-AE72-8D38EFA83A09}" name="TablaSena" displayName="TablaSena" ref="A1:C39" totalsRowShown="0" headerRowDxfId="9" headerRowBorderDxfId="8" tableBorderDxfId="7" totalsRowBorderDxfId="6">
  <autoFilter ref="A1:C39" xr:uid="{99010CAF-386D-41BE-AE72-8D38EFA83A09}"/>
  <tableColumns count="3">
    <tableColumn id="1" xr3:uid="{61F34070-348E-42B3-BF87-5A1CD2BB6FD7}" name="PROGRAMA" dataDxfId="5"/>
    <tableColumn id="2" xr3:uid="{7B4CB996-89B6-45DE-A53A-D02152366731}" name="COMPETENCIA" dataDxfId="4"/>
    <tableColumn id="3" xr3:uid="{529DD12A-961C-42BF-9AA1-50D419FC6C5E}" name="RESULTADO DE APRENDIZAJE (RAP)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fmendez@sena.edu.co" TargetMode="External"/><Relationship Id="rId2" Type="http://schemas.openxmlformats.org/officeDocument/2006/relationships/hyperlink" Target="mailto:diegotapia.s@hotmail.com" TargetMode="External"/><Relationship Id="rId1" Type="http://schemas.openxmlformats.org/officeDocument/2006/relationships/hyperlink" Target="mailto:diegoa_tapias@soy.sena.edu.co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078B-FDD5-4F89-B4CB-7471575D0D0F}">
  <sheetPr>
    <pageSetUpPr fitToPage="1"/>
  </sheetPr>
  <dimension ref="A1:AB113"/>
  <sheetViews>
    <sheetView showGridLines="0" tabSelected="1" view="pageBreakPreview" topLeftCell="A46" zoomScale="50" zoomScaleNormal="80" zoomScaleSheetLayoutView="50" workbookViewId="0">
      <selection activeCell="I49" sqref="I49:I50"/>
    </sheetView>
  </sheetViews>
  <sheetFormatPr baseColWidth="10" defaultColWidth="0" defaultRowHeight="15" customHeight="1" zeroHeight="1" x14ac:dyDescent="0.35"/>
  <cols>
    <col min="1" max="1" width="2.26953125" style="36" customWidth="1"/>
    <col min="2" max="2" width="27.26953125" style="9" customWidth="1"/>
    <col min="3" max="3" width="39.6328125" style="9" customWidth="1"/>
    <col min="4" max="4" width="21.54296875" style="9" customWidth="1"/>
    <col min="5" max="5" width="20" style="36" customWidth="1"/>
    <col min="6" max="6" width="22.54296875" style="36" customWidth="1"/>
    <col min="7" max="7" width="22.54296875" style="9" customWidth="1"/>
    <col min="8" max="8" width="33.6328125" style="9" customWidth="1"/>
    <col min="9" max="9" width="55" style="9" customWidth="1"/>
    <col min="10" max="10" width="8.453125" style="9" hidden="1" customWidth="1"/>
    <col min="11" max="11" width="6.453125" style="9" hidden="1" customWidth="1"/>
    <col min="12" max="17" width="5.7265625" style="9" hidden="1" customWidth="1"/>
    <col min="18" max="18" width="4.7265625" style="9" hidden="1" customWidth="1"/>
    <col min="19" max="19" width="5.81640625" style="9" hidden="1" customWidth="1"/>
    <col min="20" max="20" width="7.453125" style="9" hidden="1" customWidth="1"/>
    <col min="21" max="21" width="7.1796875" style="9" hidden="1" customWidth="1"/>
    <col min="22" max="23" width="5.7265625" style="9" hidden="1" customWidth="1"/>
    <col min="24" max="24" width="5" style="9" hidden="1" customWidth="1"/>
    <col min="25" max="25" width="6.453125" style="9" hidden="1" customWidth="1"/>
    <col min="26" max="26" width="8.1796875" style="9" hidden="1" customWidth="1"/>
    <col min="27" max="27" width="5.1796875" style="9" hidden="1" customWidth="1"/>
    <col min="28" max="28" width="24.453125" style="8" hidden="1" customWidth="1"/>
    <col min="29" max="16384" width="11.453125" style="7" hidden="1"/>
  </cols>
  <sheetData>
    <row r="1" spans="2:28" ht="29.25" customHeight="1" x14ac:dyDescent="0.35">
      <c r="B1" s="27"/>
      <c r="C1" s="28"/>
      <c r="D1" s="28"/>
      <c r="E1" s="32"/>
      <c r="F1" s="32"/>
      <c r="G1" s="28"/>
      <c r="H1" s="28"/>
      <c r="I1" s="29" t="s">
        <v>0</v>
      </c>
      <c r="J1" s="8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2:28" ht="29.25" customHeight="1" x14ac:dyDescent="0.35">
      <c r="B2" s="30"/>
      <c r="C2" s="16"/>
      <c r="D2" s="16"/>
      <c r="E2" s="24"/>
      <c r="F2" s="24"/>
      <c r="G2" s="16"/>
      <c r="H2" s="16"/>
      <c r="I2" s="31" t="s">
        <v>1</v>
      </c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2:28" ht="24" customHeight="1" x14ac:dyDescent="0.35">
      <c r="B3" s="139" t="s">
        <v>2</v>
      </c>
      <c r="C3" s="140"/>
      <c r="D3" s="140"/>
      <c r="E3" s="140"/>
      <c r="F3" s="140"/>
      <c r="G3" s="140"/>
      <c r="H3" s="140"/>
      <c r="I3" s="141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2:28" ht="24" customHeight="1" x14ac:dyDescent="0.35">
      <c r="B4" s="145" t="s">
        <v>3</v>
      </c>
      <c r="C4" s="146"/>
      <c r="D4" s="146"/>
      <c r="E4" s="146"/>
      <c r="F4" s="146"/>
      <c r="G4" s="146"/>
      <c r="H4" s="146"/>
      <c r="I4" s="147"/>
      <c r="J4" s="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2:28" ht="24" customHeight="1" x14ac:dyDescent="0.35">
      <c r="B5" s="142" t="s">
        <v>4</v>
      </c>
      <c r="C5" s="143"/>
      <c r="D5" s="143"/>
      <c r="E5" s="143"/>
      <c r="F5" s="143"/>
      <c r="G5" s="143"/>
      <c r="H5" s="143"/>
      <c r="I5" s="144"/>
      <c r="J5" s="8"/>
      <c r="K5" s="8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2:28" ht="24" customHeight="1" x14ac:dyDescent="0.35">
      <c r="B6" s="145" t="s">
        <v>5</v>
      </c>
      <c r="C6" s="146"/>
      <c r="D6" s="146"/>
      <c r="E6" s="146"/>
      <c r="F6" s="146"/>
      <c r="G6" s="146"/>
      <c r="H6" s="146"/>
      <c r="I6" s="147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2:28" ht="24" customHeight="1" x14ac:dyDescent="0.35">
      <c r="B7" s="142" t="s">
        <v>6</v>
      </c>
      <c r="C7" s="143"/>
      <c r="D7" s="143"/>
      <c r="E7" s="143"/>
      <c r="F7" s="143"/>
      <c r="G7" s="143"/>
      <c r="H7" s="143"/>
      <c r="I7" s="14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2:28" ht="36.75" customHeight="1" x14ac:dyDescent="0.35">
      <c r="B8" s="53" t="s">
        <v>7</v>
      </c>
      <c r="C8" s="158" t="b">
        <v>0</v>
      </c>
      <c r="D8" s="159"/>
      <c r="E8" s="160" t="s">
        <v>8</v>
      </c>
      <c r="F8" s="161"/>
      <c r="G8" s="58" t="b">
        <v>0</v>
      </c>
      <c r="H8" s="54" t="s">
        <v>9</v>
      </c>
      <c r="I8" s="59" t="b">
        <v>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2:28" ht="9" customHeight="1" x14ac:dyDescent="0.35">
      <c r="B9" s="16"/>
      <c r="C9" s="18"/>
      <c r="D9" s="18"/>
      <c r="E9" s="23"/>
      <c r="F9" s="23"/>
      <c r="G9" s="115"/>
      <c r="H9" s="115"/>
      <c r="I9" s="1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2:28" ht="21" customHeight="1" x14ac:dyDescent="0.35">
      <c r="B10" s="152" t="s">
        <v>10</v>
      </c>
      <c r="C10" s="153"/>
      <c r="D10" s="154"/>
      <c r="E10" s="148" t="s">
        <v>11</v>
      </c>
      <c r="F10" s="148"/>
      <c r="G10" s="148"/>
      <c r="H10" s="148"/>
      <c r="I10" s="14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2:28" ht="21" customHeight="1" x14ac:dyDescent="0.35">
      <c r="B11" s="138">
        <v>1</v>
      </c>
      <c r="C11" s="131"/>
      <c r="D11" s="132"/>
      <c r="E11" s="168" t="s">
        <v>161</v>
      </c>
      <c r="F11" s="168"/>
      <c r="G11" s="168"/>
      <c r="H11" s="168"/>
      <c r="I11" s="16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2:28" ht="9" customHeight="1" x14ac:dyDescent="0.35">
      <c r="B12" s="16"/>
      <c r="C12" s="18"/>
      <c r="D12" s="18"/>
      <c r="E12" s="23"/>
      <c r="F12" s="23"/>
      <c r="G12" s="115"/>
      <c r="H12" s="115"/>
      <c r="I12" s="1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2:28" ht="19.5" customHeight="1" thickBot="1" x14ac:dyDescent="0.4">
      <c r="B13" s="166" t="s">
        <v>12</v>
      </c>
      <c r="C13" s="166"/>
      <c r="D13" s="166"/>
      <c r="E13" s="166"/>
      <c r="F13" s="166"/>
      <c r="G13" s="166"/>
      <c r="H13" s="166"/>
      <c r="I13" s="16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2:28" s="9" customFormat="1" ht="21" customHeight="1" x14ac:dyDescent="0.35">
      <c r="B14" s="152" t="s">
        <v>13</v>
      </c>
      <c r="C14" s="153"/>
      <c r="D14" s="154"/>
      <c r="E14" s="55" t="s">
        <v>14</v>
      </c>
      <c r="F14" s="162" t="s">
        <v>15</v>
      </c>
      <c r="G14" s="163"/>
      <c r="H14" s="148" t="s">
        <v>16</v>
      </c>
      <c r="I14" s="149"/>
    </row>
    <row r="15" spans="2:28" ht="18" customHeight="1" thickBot="1" x14ac:dyDescent="0.4">
      <c r="B15" s="155" t="s">
        <v>162</v>
      </c>
      <c r="C15" s="156"/>
      <c r="D15" s="157"/>
      <c r="E15" s="37" t="s">
        <v>163</v>
      </c>
      <c r="F15" s="164">
        <v>1030594222</v>
      </c>
      <c r="G15" s="165"/>
      <c r="H15" s="150">
        <v>3106192125</v>
      </c>
      <c r="I15" s="151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2:28" ht="18" customHeight="1" x14ac:dyDescent="0.35">
      <c r="B16" s="123" t="s">
        <v>17</v>
      </c>
      <c r="C16" s="124"/>
      <c r="D16" s="125"/>
      <c r="E16" s="126" t="s">
        <v>18</v>
      </c>
      <c r="F16" s="126"/>
      <c r="G16" s="126"/>
      <c r="H16" s="106" t="s">
        <v>19</v>
      </c>
      <c r="I16" s="10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2:28" ht="18" customHeight="1" x14ac:dyDescent="0.35">
      <c r="B17" s="130" t="s">
        <v>164</v>
      </c>
      <c r="C17" s="131"/>
      <c r="D17" s="132"/>
      <c r="E17" s="174" t="s">
        <v>165</v>
      </c>
      <c r="F17" s="175"/>
      <c r="G17" s="175"/>
      <c r="H17" s="169" t="s">
        <v>166</v>
      </c>
      <c r="I17" s="170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2:28" s="47" customFormat="1" ht="18" customHeight="1" x14ac:dyDescent="0.35">
      <c r="B18" s="152" t="s">
        <v>20</v>
      </c>
      <c r="C18" s="153"/>
      <c r="D18" s="154"/>
      <c r="E18" s="148" t="s">
        <v>21</v>
      </c>
      <c r="F18" s="148"/>
      <c r="G18" s="148"/>
      <c r="H18" s="148" t="s">
        <v>22</v>
      </c>
      <c r="I18" s="14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2:28" s="47" customFormat="1" ht="18" customHeight="1" x14ac:dyDescent="0.35">
      <c r="B19" s="171">
        <v>2996897</v>
      </c>
      <c r="C19" s="172"/>
      <c r="D19" s="173"/>
      <c r="E19" s="169" t="s">
        <v>167</v>
      </c>
      <c r="F19" s="169"/>
      <c r="G19" s="169"/>
      <c r="H19" s="169" t="s">
        <v>109</v>
      </c>
      <c r="I19" s="170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2:28" ht="43.5" customHeight="1" x14ac:dyDescent="0.35">
      <c r="B20" s="135" t="s">
        <v>23</v>
      </c>
      <c r="C20" s="136"/>
      <c r="D20" s="137"/>
      <c r="E20" s="133" t="s">
        <v>24</v>
      </c>
      <c r="F20" s="133"/>
      <c r="G20" s="133"/>
      <c r="H20" s="133" t="s">
        <v>25</v>
      </c>
      <c r="I20" s="134"/>
      <c r="J20" s="16"/>
      <c r="K20" s="16"/>
      <c r="L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2:28" ht="18" customHeight="1" x14ac:dyDescent="0.35">
      <c r="B21" s="138" t="s">
        <v>168</v>
      </c>
      <c r="C21" s="131"/>
      <c r="D21" s="132"/>
      <c r="E21" s="150" t="s">
        <v>169</v>
      </c>
      <c r="F21" s="150"/>
      <c r="G21" s="150"/>
      <c r="H21" s="181" t="s">
        <v>186</v>
      </c>
      <c r="I21" s="182"/>
      <c r="J21" s="18"/>
      <c r="K21" s="18"/>
      <c r="L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2:28" ht="9.75" customHeight="1" x14ac:dyDescent="0.35">
      <c r="B22" s="13"/>
      <c r="C22" s="13"/>
      <c r="D22" s="13"/>
      <c r="E22" s="33"/>
      <c r="F22" s="33"/>
      <c r="G22" s="114"/>
      <c r="H22" s="114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2:28" ht="17.25" customHeight="1" x14ac:dyDescent="0.35">
      <c r="B23" s="176" t="s">
        <v>26</v>
      </c>
      <c r="C23" s="177"/>
      <c r="D23" s="177"/>
      <c r="E23" s="177"/>
      <c r="F23" s="177"/>
      <c r="G23" s="177"/>
      <c r="H23" s="177"/>
      <c r="I23" s="178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2:28" s="9" customFormat="1" ht="36.75" customHeight="1" x14ac:dyDescent="0.35">
      <c r="B24" s="179" t="s">
        <v>27</v>
      </c>
      <c r="C24" s="180"/>
      <c r="D24" s="180"/>
      <c r="E24" s="180"/>
      <c r="F24" s="118" t="s">
        <v>28</v>
      </c>
      <c r="G24" s="118"/>
      <c r="H24" s="180" t="s">
        <v>29</v>
      </c>
      <c r="I24" s="199"/>
      <c r="J24" s="18"/>
      <c r="K24" s="18"/>
      <c r="M24" s="16"/>
      <c r="N24" s="16"/>
      <c r="W24" s="16"/>
      <c r="X24" s="16"/>
      <c r="Y24" s="16"/>
      <c r="Z24" s="16"/>
      <c r="AA24" s="16"/>
      <c r="AB24" s="10"/>
    </row>
    <row r="25" spans="2:28" ht="25.5" customHeight="1" thickBot="1" x14ac:dyDescent="0.4">
      <c r="B25" s="208" t="s">
        <v>170</v>
      </c>
      <c r="C25" s="183"/>
      <c r="D25" s="183"/>
      <c r="E25" s="183"/>
      <c r="F25" s="183" t="s">
        <v>171</v>
      </c>
      <c r="G25" s="183"/>
      <c r="H25" s="200" t="s">
        <v>172</v>
      </c>
      <c r="I25" s="201"/>
      <c r="J25" s="18"/>
      <c r="K25" s="18"/>
      <c r="M25" s="18"/>
      <c r="N25" s="18"/>
      <c r="W25" s="18"/>
      <c r="X25" s="18"/>
      <c r="Y25" s="18"/>
      <c r="Z25" s="18"/>
      <c r="AA25" s="18"/>
    </row>
    <row r="26" spans="2:28" ht="10" customHeight="1" thickBot="1" x14ac:dyDescent="0.4">
      <c r="B26" s="13"/>
      <c r="C26" s="13"/>
      <c r="D26" s="13"/>
      <c r="E26" s="33"/>
      <c r="F26" s="33"/>
      <c r="G26" s="114"/>
      <c r="H26" s="114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2:28" ht="18" customHeight="1" x14ac:dyDescent="0.35">
      <c r="B27" s="205" t="s">
        <v>30</v>
      </c>
      <c r="C27" s="206"/>
      <c r="D27" s="206"/>
      <c r="E27" s="206"/>
      <c r="F27" s="206"/>
      <c r="G27" s="206"/>
      <c r="H27" s="206"/>
      <c r="I27" s="207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2:28" s="9" customFormat="1" ht="45.75" customHeight="1" x14ac:dyDescent="0.35">
      <c r="B28" s="202" t="s">
        <v>31</v>
      </c>
      <c r="C28" s="180"/>
      <c r="D28" s="180"/>
      <c r="E28" s="118" t="s">
        <v>32</v>
      </c>
      <c r="F28" s="118"/>
      <c r="G28" s="49" t="s">
        <v>33</v>
      </c>
      <c r="H28" s="180" t="s">
        <v>34</v>
      </c>
      <c r="I28" s="204"/>
      <c r="J28" s="16"/>
      <c r="N28" s="16"/>
      <c r="O28" s="16"/>
      <c r="Q28" s="16"/>
      <c r="R28" s="16"/>
      <c r="S28" s="16"/>
      <c r="T28" s="16"/>
      <c r="V28" s="16"/>
      <c r="W28" s="16"/>
      <c r="X28" s="16"/>
      <c r="Y28" s="16"/>
      <c r="Z28" s="16"/>
      <c r="AA28" s="16"/>
      <c r="AB28" s="10"/>
    </row>
    <row r="29" spans="2:28" ht="24" customHeight="1" thickBot="1" x14ac:dyDescent="0.4">
      <c r="B29" s="203" t="s">
        <v>173</v>
      </c>
      <c r="C29" s="119"/>
      <c r="D29" s="119"/>
      <c r="E29" s="119" t="s">
        <v>174</v>
      </c>
      <c r="F29" s="119"/>
      <c r="G29" s="52">
        <v>3124117048</v>
      </c>
      <c r="H29" s="116" t="s">
        <v>175</v>
      </c>
      <c r="I29" s="117"/>
      <c r="J29" s="18"/>
      <c r="N29" s="18"/>
      <c r="O29" s="18"/>
      <c r="Q29" s="18"/>
      <c r="R29" s="18"/>
      <c r="S29" s="18"/>
      <c r="T29" s="18"/>
      <c r="V29" s="18"/>
      <c r="W29" s="18"/>
      <c r="X29" s="18"/>
      <c r="Y29" s="18"/>
      <c r="Z29" s="18"/>
      <c r="AA29" s="18"/>
    </row>
    <row r="30" spans="2:28" ht="8.25" customHeight="1" x14ac:dyDescent="0.35">
      <c r="B30" s="13"/>
      <c r="C30" s="13"/>
      <c r="D30" s="13"/>
      <c r="E30" s="33"/>
      <c r="F30" s="33"/>
      <c r="G30" s="114"/>
      <c r="H30" s="114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2:28" ht="18" customHeight="1" x14ac:dyDescent="0.35">
      <c r="B31" s="176" t="s">
        <v>35</v>
      </c>
      <c r="C31" s="177"/>
      <c r="D31" s="177"/>
      <c r="E31" s="177"/>
      <c r="F31" s="177"/>
      <c r="G31" s="177"/>
      <c r="H31" s="177"/>
      <c r="I31" s="17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2:28" ht="19.5" customHeight="1" x14ac:dyDescent="0.35">
      <c r="B32" s="120" t="s">
        <v>36</v>
      </c>
      <c r="C32" s="121"/>
      <c r="D32" s="121"/>
      <c r="E32" s="121"/>
      <c r="F32" s="122"/>
      <c r="G32" s="240" t="s">
        <v>37</v>
      </c>
      <c r="H32" s="121"/>
      <c r="I32" s="241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2:28" ht="30" customHeight="1" x14ac:dyDescent="0.35">
      <c r="B33" s="237" t="s">
        <v>104</v>
      </c>
      <c r="C33" s="238"/>
      <c r="D33" s="238"/>
      <c r="E33" s="238"/>
      <c r="F33" s="239"/>
      <c r="G33" s="242" t="s">
        <v>105</v>
      </c>
      <c r="H33" s="238"/>
      <c r="I33" s="243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2:28" ht="10" customHeight="1" x14ac:dyDescent="0.35">
      <c r="B34" s="13"/>
      <c r="C34" s="13"/>
      <c r="D34" s="13"/>
      <c r="E34" s="33"/>
      <c r="F34" s="33"/>
      <c r="G34" s="114"/>
      <c r="H34" s="114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2:28" ht="18" customHeight="1" x14ac:dyDescent="0.35">
      <c r="B35" s="191" t="s">
        <v>38</v>
      </c>
      <c r="C35" s="192"/>
      <c r="D35" s="192"/>
      <c r="E35" s="192"/>
      <c r="F35" s="192"/>
      <c r="G35" s="192"/>
      <c r="H35" s="192"/>
      <c r="I35" s="193"/>
      <c r="J35" s="39"/>
      <c r="K35" s="19"/>
      <c r="L35" s="19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2:28" ht="30" customHeight="1" x14ac:dyDescent="0.35">
      <c r="B36" s="41" t="s">
        <v>39</v>
      </c>
      <c r="C36" s="196" t="s">
        <v>40</v>
      </c>
      <c r="D36" s="197"/>
      <c r="E36" s="197"/>
      <c r="F36" s="198"/>
      <c r="G36" s="41" t="s">
        <v>39</v>
      </c>
      <c r="H36" s="194" t="s">
        <v>41</v>
      </c>
      <c r="I36" s="195"/>
      <c r="J36" s="40"/>
      <c r="K36" s="19"/>
      <c r="L36" s="19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2:28" s="11" customFormat="1" ht="14.25" customHeight="1" x14ac:dyDescent="0.35">
      <c r="B37" s="185" t="s">
        <v>42</v>
      </c>
      <c r="C37" s="215"/>
      <c r="D37" s="216"/>
      <c r="E37" s="216"/>
      <c r="F37" s="217"/>
      <c r="G37" s="185" t="s">
        <v>43</v>
      </c>
      <c r="H37" s="231"/>
      <c r="I37" s="232"/>
      <c r="J37" s="39"/>
      <c r="K37" s="16"/>
      <c r="L37" s="18"/>
      <c r="M37" s="18"/>
      <c r="N37" s="18"/>
      <c r="O37" s="18"/>
      <c r="P37" s="18"/>
      <c r="Q37" s="18"/>
      <c r="R37" s="18"/>
      <c r="S37" s="16"/>
      <c r="T37" s="16"/>
      <c r="U37" s="18"/>
      <c r="V37" s="18"/>
      <c r="W37" s="18"/>
      <c r="X37" s="18"/>
      <c r="AB37" s="12"/>
    </row>
    <row r="38" spans="2:28" s="11" customFormat="1" ht="14.25" customHeight="1" x14ac:dyDescent="0.35">
      <c r="B38" s="235"/>
      <c r="C38" s="218"/>
      <c r="D38" s="114"/>
      <c r="E38" s="114"/>
      <c r="F38" s="219"/>
      <c r="G38" s="212"/>
      <c r="H38" s="233"/>
      <c r="I38" s="234"/>
      <c r="J38" s="39"/>
      <c r="K38" s="16"/>
      <c r="L38" s="18"/>
      <c r="M38" s="18"/>
      <c r="N38" s="18"/>
      <c r="P38" s="18"/>
      <c r="Q38" s="18"/>
      <c r="R38" s="18"/>
      <c r="S38" s="16"/>
      <c r="T38" s="16"/>
      <c r="U38" s="18"/>
      <c r="V38" s="18"/>
      <c r="W38" s="18"/>
      <c r="X38" s="18"/>
      <c r="AB38" s="12"/>
    </row>
    <row r="39" spans="2:28" s="11" customFormat="1" ht="14.25" customHeight="1" x14ac:dyDescent="0.35">
      <c r="B39" s="235"/>
      <c r="C39" s="218"/>
      <c r="D39" s="114"/>
      <c r="E39" s="114"/>
      <c r="F39" s="219"/>
      <c r="G39" s="185" t="s">
        <v>44</v>
      </c>
      <c r="H39" s="154" t="s">
        <v>176</v>
      </c>
      <c r="I39" s="149"/>
      <c r="J39" s="39"/>
      <c r="K39" s="16"/>
      <c r="L39" s="18"/>
      <c r="M39" s="18"/>
      <c r="N39" s="18"/>
      <c r="O39" s="18"/>
      <c r="P39" s="18"/>
      <c r="Q39" s="18"/>
      <c r="R39" s="18"/>
      <c r="S39" s="16"/>
      <c r="T39" s="16"/>
      <c r="U39" s="18"/>
      <c r="V39" s="18"/>
      <c r="W39" s="18"/>
      <c r="X39" s="18"/>
      <c r="AB39" s="12"/>
    </row>
    <row r="40" spans="2:28" s="11" customFormat="1" ht="20.25" customHeight="1" x14ac:dyDescent="0.35">
      <c r="B40" s="236"/>
      <c r="C40" s="220"/>
      <c r="D40" s="221"/>
      <c r="E40" s="221"/>
      <c r="F40" s="222"/>
      <c r="G40" s="212"/>
      <c r="H40" s="173"/>
      <c r="I40" s="170"/>
      <c r="J40" s="39"/>
      <c r="K40" s="16"/>
      <c r="L40" s="18"/>
      <c r="M40" s="18"/>
      <c r="N40" s="18"/>
      <c r="O40" s="18"/>
      <c r="P40" s="18"/>
      <c r="Q40" s="18"/>
      <c r="R40" s="18"/>
      <c r="S40" s="16"/>
      <c r="T40" s="16"/>
      <c r="U40" s="18"/>
      <c r="V40" s="18"/>
      <c r="W40" s="18"/>
      <c r="X40" s="18"/>
      <c r="AB40" s="12"/>
    </row>
    <row r="41" spans="2:28" s="11" customFormat="1" ht="16.5" customHeight="1" x14ac:dyDescent="0.35">
      <c r="B41" s="229" t="s">
        <v>45</v>
      </c>
      <c r="C41" s="223"/>
      <c r="D41" s="224"/>
      <c r="E41" s="224"/>
      <c r="F41" s="225"/>
      <c r="G41" s="185" t="s">
        <v>46</v>
      </c>
      <c r="H41" s="187"/>
      <c r="I41" s="188"/>
      <c r="J41" s="56"/>
      <c r="K41" s="16"/>
      <c r="L41" s="17"/>
      <c r="M41" s="14"/>
      <c r="N41" s="14"/>
      <c r="O41" s="14"/>
      <c r="P41" s="14"/>
      <c r="Q41" s="14"/>
      <c r="R41" s="18"/>
      <c r="S41" s="17"/>
      <c r="T41" s="17"/>
      <c r="U41" s="14"/>
      <c r="V41" s="14"/>
      <c r="W41" s="14"/>
      <c r="X41" s="18"/>
      <c r="Y41" s="17"/>
      <c r="Z41" s="17"/>
      <c r="AA41" s="13"/>
      <c r="AB41" s="12"/>
    </row>
    <row r="42" spans="2:28" s="38" customFormat="1" ht="16.5" customHeight="1" x14ac:dyDescent="0.35">
      <c r="B42" s="230"/>
      <c r="C42" s="226"/>
      <c r="D42" s="227"/>
      <c r="E42" s="227"/>
      <c r="F42" s="228"/>
      <c r="G42" s="186"/>
      <c r="H42" s="189"/>
      <c r="I42" s="190"/>
      <c r="J42" s="56"/>
      <c r="K42" s="16"/>
      <c r="L42" s="17"/>
      <c r="M42" s="14"/>
      <c r="N42" s="14"/>
      <c r="O42" s="14"/>
      <c r="P42" s="14"/>
      <c r="Q42" s="14"/>
      <c r="R42" s="18"/>
      <c r="S42" s="17"/>
      <c r="T42" s="17"/>
      <c r="U42" s="14"/>
      <c r="V42" s="14"/>
      <c r="W42" s="14"/>
      <c r="X42" s="18"/>
      <c r="Y42" s="17"/>
      <c r="Z42" s="17"/>
      <c r="AA42" s="13"/>
      <c r="AB42" s="12"/>
    </row>
    <row r="43" spans="2:28" s="38" customFormat="1" ht="13.5" customHeight="1" thickBot="1" x14ac:dyDescent="0.4">
      <c r="B43" s="42"/>
      <c r="C43" s="43"/>
      <c r="D43" s="43"/>
      <c r="E43" s="43"/>
      <c r="F43" s="43"/>
      <c r="G43" s="213"/>
      <c r="H43" s="214"/>
      <c r="I43" s="43"/>
      <c r="J43" s="56"/>
      <c r="K43" s="16"/>
      <c r="L43" s="17"/>
      <c r="M43" s="14"/>
      <c r="N43" s="14"/>
      <c r="O43" s="14"/>
      <c r="P43" s="14"/>
      <c r="Q43" s="14"/>
      <c r="R43" s="18"/>
      <c r="S43" s="17"/>
      <c r="T43" s="17"/>
      <c r="U43" s="14"/>
      <c r="V43" s="14"/>
      <c r="W43" s="14"/>
      <c r="X43" s="18"/>
      <c r="Y43" s="17"/>
      <c r="Z43" s="17"/>
      <c r="AA43" s="13"/>
      <c r="AB43" s="12"/>
    </row>
    <row r="44" spans="2:28" s="11" customFormat="1" ht="16.5" customHeight="1" thickBot="1" x14ac:dyDescent="0.4">
      <c r="B44" s="210" t="s">
        <v>47</v>
      </c>
      <c r="C44" s="210"/>
      <c r="D44" s="210"/>
      <c r="E44" s="210"/>
      <c r="F44" s="210"/>
      <c r="G44" s="210"/>
      <c r="H44" s="210"/>
      <c r="I44" s="211"/>
      <c r="J44" s="16"/>
      <c r="K44" s="16"/>
      <c r="L44" s="17"/>
      <c r="M44" s="14"/>
      <c r="N44" s="14"/>
      <c r="O44" s="14"/>
      <c r="P44" s="14"/>
      <c r="Q44" s="14"/>
      <c r="R44" s="18"/>
      <c r="S44" s="17"/>
      <c r="T44" s="17"/>
      <c r="U44" s="14"/>
      <c r="V44" s="14"/>
      <c r="W44" s="14"/>
      <c r="X44" s="18"/>
      <c r="Y44" s="17"/>
      <c r="Z44" s="17"/>
      <c r="AA44" s="13"/>
      <c r="AB44" s="12"/>
    </row>
    <row r="45" spans="2:28" ht="68.25" customHeight="1" x14ac:dyDescent="0.35">
      <c r="B45" s="129" t="s">
        <v>48</v>
      </c>
      <c r="C45" s="111"/>
      <c r="D45" s="108" t="s">
        <v>49</v>
      </c>
      <c r="E45" s="109"/>
      <c r="F45" s="112" t="s">
        <v>50</v>
      </c>
      <c r="G45" s="112" t="s">
        <v>51</v>
      </c>
      <c r="H45" s="127" t="s">
        <v>52</v>
      </c>
      <c r="I45" s="184" t="s">
        <v>53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2:28" ht="66.75" customHeight="1" x14ac:dyDescent="0.35">
      <c r="B46" s="129"/>
      <c r="C46" s="111"/>
      <c r="D46" s="110"/>
      <c r="E46" s="111"/>
      <c r="F46" s="113"/>
      <c r="G46" s="112"/>
      <c r="H46" s="128"/>
      <c r="I46" s="184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2:28" ht="53.5" customHeight="1" x14ac:dyDescent="0.35">
      <c r="B47" s="100" t="s">
        <v>187</v>
      </c>
      <c r="C47" s="101"/>
      <c r="D47" s="292" t="s">
        <v>110</v>
      </c>
      <c r="E47" s="293"/>
      <c r="F47" s="102">
        <v>46154</v>
      </c>
      <c r="G47" s="104">
        <v>46161</v>
      </c>
      <c r="H47" s="105" t="s">
        <v>181</v>
      </c>
      <c r="I47" s="97" t="s">
        <v>188</v>
      </c>
      <c r="J47" s="18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2:28" ht="128" customHeight="1" x14ac:dyDescent="0.35">
      <c r="B48" s="100"/>
      <c r="C48" s="101"/>
      <c r="D48" s="294"/>
      <c r="E48" s="295"/>
      <c r="F48" s="103"/>
      <c r="G48" s="105"/>
      <c r="H48" s="105"/>
      <c r="I48" s="98"/>
      <c r="J48" s="18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2:28" ht="32" customHeight="1" x14ac:dyDescent="0.35">
      <c r="B49" s="100" t="s">
        <v>177</v>
      </c>
      <c r="C49" s="101"/>
      <c r="D49" s="101" t="s">
        <v>113</v>
      </c>
      <c r="E49" s="101"/>
      <c r="F49" s="102">
        <v>46161</v>
      </c>
      <c r="G49" s="104">
        <v>46168</v>
      </c>
      <c r="H49" s="105" t="s">
        <v>182</v>
      </c>
      <c r="I49" s="101" t="s">
        <v>189</v>
      </c>
      <c r="J49" s="18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2:28" ht="112" customHeight="1" x14ac:dyDescent="0.35">
      <c r="B50" s="100"/>
      <c r="C50" s="101"/>
      <c r="D50" s="101"/>
      <c r="E50" s="101"/>
      <c r="F50" s="103"/>
      <c r="G50" s="105"/>
      <c r="H50" s="105"/>
      <c r="I50" s="101"/>
      <c r="J50" s="18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2:28" ht="18.75" customHeight="1" x14ac:dyDescent="0.35">
      <c r="B51" s="100" t="s">
        <v>178</v>
      </c>
      <c r="C51" s="101"/>
      <c r="D51" s="101" t="s">
        <v>112</v>
      </c>
      <c r="E51" s="101"/>
      <c r="F51" s="102">
        <v>46168</v>
      </c>
      <c r="G51" s="104">
        <v>46055</v>
      </c>
      <c r="H51" s="105" t="s">
        <v>183</v>
      </c>
      <c r="I51" s="101" t="s">
        <v>190</v>
      </c>
      <c r="J51" s="18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2:28" ht="143" customHeight="1" x14ac:dyDescent="0.35">
      <c r="B52" s="100"/>
      <c r="C52" s="101"/>
      <c r="D52" s="101"/>
      <c r="E52" s="101"/>
      <c r="F52" s="103"/>
      <c r="G52" s="105"/>
      <c r="H52" s="105"/>
      <c r="I52" s="101"/>
      <c r="J52" s="18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2:28" ht="18.75" customHeight="1" x14ac:dyDescent="0.35">
      <c r="B53" s="100" t="s">
        <v>185</v>
      </c>
      <c r="C53" s="101"/>
      <c r="D53" s="101" t="s">
        <v>112</v>
      </c>
      <c r="E53" s="101"/>
      <c r="F53" s="102">
        <v>46175</v>
      </c>
      <c r="G53" s="104">
        <v>46185</v>
      </c>
      <c r="H53" s="105" t="s">
        <v>184</v>
      </c>
      <c r="I53" s="98" t="s">
        <v>191</v>
      </c>
      <c r="J53" s="18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8" ht="128" customHeight="1" x14ac:dyDescent="0.35">
      <c r="B54" s="100"/>
      <c r="C54" s="101"/>
      <c r="D54" s="101"/>
      <c r="E54" s="101"/>
      <c r="F54" s="103"/>
      <c r="G54" s="105"/>
      <c r="H54" s="105"/>
      <c r="I54" s="99"/>
      <c r="J54" s="18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2:28" ht="15" customHeight="1" x14ac:dyDescent="0.35">
      <c r="B55" s="21"/>
      <c r="C55" s="18"/>
      <c r="D55" s="18"/>
      <c r="E55" s="23"/>
      <c r="F55" s="23"/>
      <c r="G55" s="115"/>
      <c r="H55" s="115"/>
      <c r="I55" s="18"/>
      <c r="J55" s="18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2:28" ht="15" customHeight="1" thickBot="1" x14ac:dyDescent="0.4">
      <c r="B56" s="76" t="s">
        <v>54</v>
      </c>
      <c r="C56" s="77"/>
      <c r="D56" s="77"/>
      <c r="E56" s="77"/>
      <c r="F56" s="77"/>
      <c r="G56" s="77"/>
      <c r="H56" s="77"/>
      <c r="I56" s="78"/>
      <c r="J56" s="18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2:28" ht="23.25" customHeight="1" x14ac:dyDescent="0.35">
      <c r="B57" s="244" t="s">
        <v>55</v>
      </c>
      <c r="C57" s="245"/>
      <c r="D57" s="245"/>
      <c r="E57" s="245"/>
      <c r="F57" s="245"/>
      <c r="G57" s="245"/>
      <c r="H57" s="245"/>
      <c r="I57" s="246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2:28" ht="19.5" customHeight="1" x14ac:dyDescent="0.35">
      <c r="B58" s="76" t="s">
        <v>56</v>
      </c>
      <c r="C58" s="77"/>
      <c r="D58" s="77"/>
      <c r="E58" s="77"/>
      <c r="F58" s="77"/>
      <c r="G58" s="77"/>
      <c r="H58" s="77"/>
      <c r="I58" s="78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2:28" ht="11.25" customHeight="1" x14ac:dyDescent="0.35">
      <c r="B59" s="80" t="s">
        <v>57</v>
      </c>
      <c r="C59" s="81"/>
      <c r="D59" s="81"/>
      <c r="E59" s="81"/>
      <c r="F59" s="81"/>
      <c r="G59" s="81"/>
      <c r="H59" s="81"/>
      <c r="I59" s="8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2:28" ht="11.25" customHeight="1" x14ac:dyDescent="0.35">
      <c r="B60" s="83"/>
      <c r="C60" s="84"/>
      <c r="D60" s="84"/>
      <c r="E60" s="84"/>
      <c r="F60" s="84"/>
      <c r="G60" s="84"/>
      <c r="H60" s="84"/>
      <c r="I60" s="85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2:28" s="46" customFormat="1" ht="18" customHeight="1" x14ac:dyDescent="0.35">
      <c r="B61" s="83" t="s">
        <v>58</v>
      </c>
      <c r="C61" s="84"/>
      <c r="D61" s="84"/>
      <c r="E61" s="84"/>
      <c r="F61" s="84"/>
      <c r="G61" s="84"/>
      <c r="H61" s="84"/>
      <c r="I61" s="85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5"/>
    </row>
    <row r="62" spans="2:28" ht="18" customHeight="1" thickBot="1" x14ac:dyDescent="0.4">
      <c r="B62" s="88" t="s">
        <v>59</v>
      </c>
      <c r="C62" s="89"/>
      <c r="D62" s="89"/>
      <c r="E62" s="89"/>
      <c r="F62" s="89"/>
      <c r="G62" s="89"/>
      <c r="H62" s="89"/>
      <c r="I62" s="90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2:28" ht="45" customHeight="1" x14ac:dyDescent="0.35">
      <c r="B63" s="50" t="s">
        <v>60</v>
      </c>
      <c r="C63" s="86" t="s">
        <v>61</v>
      </c>
      <c r="D63" s="86"/>
      <c r="E63" s="86" t="s">
        <v>62</v>
      </c>
      <c r="F63" s="86"/>
      <c r="G63" s="254" t="s">
        <v>179</v>
      </c>
      <c r="H63" s="86" t="s">
        <v>63</v>
      </c>
      <c r="I63" s="256" t="s">
        <v>180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2:28" ht="32.25" customHeight="1" thickBot="1" x14ac:dyDescent="0.4">
      <c r="B64" s="51" t="s">
        <v>179</v>
      </c>
      <c r="C64" s="93">
        <v>2</v>
      </c>
      <c r="D64" s="93"/>
      <c r="E64" s="87"/>
      <c r="F64" s="87"/>
      <c r="G64" s="255"/>
      <c r="H64" s="87"/>
      <c r="I64" s="25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2:28" ht="9.75" customHeight="1" x14ac:dyDescent="0.35">
      <c r="B65" s="17"/>
      <c r="C65" s="17"/>
      <c r="D65" s="17"/>
      <c r="E65" s="34"/>
      <c r="F65" s="34"/>
      <c r="G65" s="91"/>
      <c r="H65" s="91"/>
      <c r="I65" s="1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2:28" ht="15" customHeight="1" x14ac:dyDescent="0.35">
      <c r="B66" s="79" t="s">
        <v>64</v>
      </c>
      <c r="C66" s="79"/>
      <c r="D66" s="79"/>
      <c r="E66" s="79"/>
      <c r="F66" s="79"/>
      <c r="G66" s="79"/>
      <c r="H66" s="79"/>
      <c r="I66" s="79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2:28" ht="15" customHeight="1" x14ac:dyDescent="0.35">
      <c r="B67" s="15"/>
      <c r="C67" s="15"/>
      <c r="D67" s="15"/>
      <c r="E67" s="35"/>
      <c r="F67" s="35"/>
      <c r="G67" s="92"/>
      <c r="H67" s="92"/>
      <c r="I67" s="15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2:28" ht="36" customHeight="1" x14ac:dyDescent="0.35">
      <c r="B68" s="92" t="e" vm="1">
        <v>#VALUE!</v>
      </c>
      <c r="C68" s="92"/>
      <c r="D68" s="92"/>
      <c r="E68" s="92"/>
      <c r="F68" s="35"/>
      <c r="G68" s="92"/>
      <c r="H68" s="92"/>
      <c r="I68" s="15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2:28" ht="36" customHeight="1" thickBot="1" x14ac:dyDescent="0.4">
      <c r="B69" s="250"/>
      <c r="C69" s="250"/>
      <c r="D69" s="250"/>
      <c r="E69" s="250"/>
      <c r="F69" s="26"/>
      <c r="H69" s="57">
        <v>46185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2:28" ht="15" customHeight="1" x14ac:dyDescent="0.35">
      <c r="B70" s="75" t="s">
        <v>65</v>
      </c>
      <c r="C70" s="75"/>
      <c r="D70" s="75"/>
      <c r="E70" s="75"/>
      <c r="F70" s="17"/>
      <c r="H70" s="17" t="s">
        <v>66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2:28" ht="14.5" x14ac:dyDescent="0.35">
      <c r="B71" s="7"/>
      <c r="C71" s="16"/>
      <c r="D71" s="16"/>
      <c r="E71" s="26"/>
      <c r="F71" s="26"/>
      <c r="G71" s="95"/>
      <c r="H71" s="209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2:28" ht="30" customHeight="1" x14ac:dyDescent="0.35">
      <c r="B72" s="252"/>
      <c r="C72" s="252"/>
      <c r="D72" s="252"/>
      <c r="E72" s="252"/>
      <c r="F72" s="26"/>
      <c r="H72" s="214" t="e" vm="2">
        <v>#VALUE!</v>
      </c>
      <c r="I72" s="214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2:28" ht="38.25" customHeight="1" thickBot="1" x14ac:dyDescent="0.4">
      <c r="B73" s="253"/>
      <c r="C73" s="253"/>
      <c r="D73" s="253"/>
      <c r="E73" s="253"/>
      <c r="F73" s="26"/>
      <c r="H73" s="251"/>
      <c r="I73" s="251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2:28" ht="15.75" customHeight="1" x14ac:dyDescent="0.35">
      <c r="B74" s="7"/>
      <c r="C74" s="24" t="s">
        <v>67</v>
      </c>
      <c r="D74" s="24"/>
      <c r="E74" s="26"/>
      <c r="F74" s="26"/>
      <c r="H74" s="75" t="s">
        <v>68</v>
      </c>
      <c r="I74" s="75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2:28" ht="7.15" customHeight="1" x14ac:dyDescent="0.35">
      <c r="B75" s="7"/>
      <c r="C75" s="24"/>
      <c r="D75" s="24"/>
      <c r="E75" s="26"/>
      <c r="F75" s="26"/>
      <c r="G75" s="95"/>
      <c r="H75" s="91"/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2:28" ht="18" customHeight="1" x14ac:dyDescent="0.35">
      <c r="B76" s="94" t="s">
        <v>69</v>
      </c>
      <c r="C76" s="94"/>
      <c r="D76" s="94"/>
      <c r="E76" s="94"/>
      <c r="F76" s="94"/>
      <c r="G76" s="94"/>
      <c r="H76" s="94"/>
      <c r="I76" s="94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2:28" ht="14.5" x14ac:dyDescent="0.35">
      <c r="B77" s="94"/>
      <c r="C77" s="94"/>
      <c r="D77" s="94"/>
      <c r="E77" s="94"/>
      <c r="F77" s="94"/>
      <c r="G77" s="94"/>
      <c r="H77" s="94"/>
      <c r="I77" s="94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2:28" ht="8.5" customHeight="1" x14ac:dyDescent="0.35">
      <c r="B78" s="48"/>
      <c r="C78" s="48"/>
      <c r="D78" s="48"/>
      <c r="E78" s="48"/>
      <c r="F78" s="48"/>
      <c r="G78" s="96"/>
      <c r="H78" s="96"/>
      <c r="I78" s="48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2:28" ht="24" customHeight="1" x14ac:dyDescent="0.35">
      <c r="B79" s="69" t="s">
        <v>70</v>
      </c>
      <c r="C79" s="70"/>
      <c r="D79" s="70"/>
      <c r="E79" s="70"/>
      <c r="F79" s="70"/>
      <c r="G79" s="70"/>
      <c r="H79" s="70"/>
      <c r="I79" s="71"/>
      <c r="J79" s="8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13.5" customHeight="1" x14ac:dyDescent="0.35">
      <c r="B80" s="72" t="s">
        <v>71</v>
      </c>
      <c r="C80" s="73"/>
      <c r="D80" s="73"/>
      <c r="E80" s="73"/>
      <c r="F80" s="73"/>
      <c r="G80" s="73"/>
      <c r="H80" s="73"/>
      <c r="I80" s="74"/>
      <c r="J80" s="8"/>
      <c r="K80" s="2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8" customFormat="1" ht="241.5" customHeight="1" thickBot="1" x14ac:dyDescent="0.4">
      <c r="B81" s="247"/>
      <c r="C81" s="248"/>
      <c r="D81" s="248"/>
      <c r="E81" s="248"/>
      <c r="F81" s="248"/>
      <c r="G81" s="248"/>
      <c r="H81" s="248"/>
      <c r="I81" s="249"/>
    </row>
    <row r="82" spans="2:28" ht="14.5" hidden="1" x14ac:dyDescent="0.35">
      <c r="G82" s="95"/>
      <c r="H82" s="95"/>
      <c r="J82" s="8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2:28" ht="14.5" hidden="1" x14ac:dyDescent="0.35">
      <c r="G83" s="95"/>
      <c r="H83" s="95"/>
    </row>
    <row r="84" spans="2:28" ht="14.5" hidden="1" x14ac:dyDescent="0.35">
      <c r="G84" s="95"/>
      <c r="H84" s="95"/>
    </row>
    <row r="85" spans="2:28" ht="15" hidden="1" customHeight="1" x14ac:dyDescent="0.35">
      <c r="G85" s="95"/>
      <c r="H85" s="95"/>
    </row>
    <row r="86" spans="2:28" ht="15" hidden="1" customHeight="1" x14ac:dyDescent="0.35">
      <c r="G86" s="95"/>
      <c r="H86" s="95"/>
    </row>
    <row r="87" spans="2:28" ht="15" hidden="1" customHeight="1" x14ac:dyDescent="0.35">
      <c r="G87" s="95"/>
      <c r="H87" s="95"/>
    </row>
    <row r="88" spans="2:28" ht="15" hidden="1" customHeight="1" x14ac:dyDescent="0.35">
      <c r="G88" s="95"/>
      <c r="H88" s="95"/>
    </row>
    <row r="89" spans="2:28" ht="15" hidden="1" customHeight="1" x14ac:dyDescent="0.35">
      <c r="G89" s="95"/>
      <c r="H89" s="95"/>
    </row>
    <row r="90" spans="2:28" ht="15" hidden="1" customHeight="1" x14ac:dyDescent="0.35">
      <c r="G90" s="95"/>
      <c r="H90" s="95"/>
    </row>
    <row r="91" spans="2:28" ht="15" hidden="1" customHeight="1" x14ac:dyDescent="0.35">
      <c r="G91" s="95"/>
      <c r="H91" s="95"/>
    </row>
    <row r="92" spans="2:28" ht="15" hidden="1" customHeight="1" x14ac:dyDescent="0.35">
      <c r="G92" s="95"/>
      <c r="H92" s="95"/>
    </row>
    <row r="93" spans="2:28" ht="15" hidden="1" customHeight="1" x14ac:dyDescent="0.35">
      <c r="G93" s="95"/>
      <c r="H93" s="95"/>
    </row>
    <row r="94" spans="2:28" ht="15" hidden="1" customHeight="1" x14ac:dyDescent="0.35">
      <c r="G94" s="95"/>
      <c r="H94" s="95"/>
    </row>
    <row r="95" spans="2:28" ht="15" hidden="1" customHeight="1" x14ac:dyDescent="0.35">
      <c r="G95" s="95"/>
      <c r="H95" s="95"/>
    </row>
    <row r="96" spans="2:28" ht="15" hidden="1" customHeight="1" x14ac:dyDescent="0.35">
      <c r="G96" s="95"/>
      <c r="H96" s="95"/>
    </row>
    <row r="97" spans="7:8" ht="15" hidden="1" customHeight="1" x14ac:dyDescent="0.35">
      <c r="G97" s="95"/>
      <c r="H97" s="95"/>
    </row>
    <row r="98" spans="7:8" ht="15" hidden="1" customHeight="1" x14ac:dyDescent="0.35">
      <c r="G98" s="95"/>
      <c r="H98" s="95"/>
    </row>
    <row r="99" spans="7:8" ht="15" hidden="1" customHeight="1" x14ac:dyDescent="0.35">
      <c r="G99" s="95"/>
      <c r="H99" s="95"/>
    </row>
    <row r="100" spans="7:8" ht="15" hidden="1" customHeight="1" x14ac:dyDescent="0.35">
      <c r="G100" s="95"/>
      <c r="H100" s="95"/>
    </row>
    <row r="101" spans="7:8" ht="15" hidden="1" customHeight="1" x14ac:dyDescent="0.35">
      <c r="G101" s="95"/>
      <c r="H101" s="95"/>
    </row>
    <row r="102" spans="7:8" ht="15" hidden="1" customHeight="1" x14ac:dyDescent="0.35">
      <c r="G102" s="95"/>
      <c r="H102" s="95"/>
    </row>
    <row r="103" spans="7:8" ht="15" hidden="1" customHeight="1" x14ac:dyDescent="0.35">
      <c r="G103" s="95"/>
      <c r="H103" s="95"/>
    </row>
    <row r="104" spans="7:8" ht="15" hidden="1" customHeight="1" x14ac:dyDescent="0.35">
      <c r="G104" s="95"/>
      <c r="H104" s="95"/>
    </row>
    <row r="105" spans="7:8" ht="15" hidden="1" customHeight="1" x14ac:dyDescent="0.35">
      <c r="G105" s="95"/>
      <c r="H105" s="95"/>
    </row>
    <row r="106" spans="7:8" ht="15" hidden="1" customHeight="1" x14ac:dyDescent="0.35">
      <c r="G106" s="95"/>
      <c r="H106" s="95"/>
    </row>
    <row r="107" spans="7:8" ht="15" hidden="1" customHeight="1" x14ac:dyDescent="0.35">
      <c r="G107" s="95"/>
      <c r="H107" s="95"/>
    </row>
    <row r="108" spans="7:8" ht="15" hidden="1" customHeight="1" x14ac:dyDescent="0.35">
      <c r="G108" s="95"/>
      <c r="H108" s="95"/>
    </row>
    <row r="109" spans="7:8" ht="15" hidden="1" customHeight="1" x14ac:dyDescent="0.35">
      <c r="G109" s="95"/>
      <c r="H109" s="95"/>
    </row>
    <row r="110" spans="7:8" ht="15" hidden="1" customHeight="1" x14ac:dyDescent="0.35">
      <c r="G110" s="95"/>
      <c r="H110" s="95"/>
    </row>
    <row r="111" spans="7:8" ht="15" hidden="1" customHeight="1" x14ac:dyDescent="0.35">
      <c r="G111" s="95"/>
      <c r="H111" s="95"/>
    </row>
    <row r="112" spans="7:8" ht="15" customHeight="1" x14ac:dyDescent="0.35"/>
    <row r="113" ht="15" customHeight="1" x14ac:dyDescent="0.35"/>
  </sheetData>
  <mergeCells count="165">
    <mergeCell ref="B33:F33"/>
    <mergeCell ref="G32:I32"/>
    <mergeCell ref="G33:I33"/>
    <mergeCell ref="G110:H110"/>
    <mergeCell ref="G111:H111"/>
    <mergeCell ref="B57:I57"/>
    <mergeCell ref="G104:H104"/>
    <mergeCell ref="G105:H105"/>
    <mergeCell ref="G106:H106"/>
    <mergeCell ref="G107:H107"/>
    <mergeCell ref="G108:H108"/>
    <mergeCell ref="G99:H99"/>
    <mergeCell ref="G100:H100"/>
    <mergeCell ref="G101:H101"/>
    <mergeCell ref="G102:H102"/>
    <mergeCell ref="B81:I81"/>
    <mergeCell ref="B68:E69"/>
    <mergeCell ref="H72:I73"/>
    <mergeCell ref="B72:E73"/>
    <mergeCell ref="G63:G64"/>
    <mergeCell ref="I63:I64"/>
    <mergeCell ref="G85:H85"/>
    <mergeCell ref="G86:H86"/>
    <mergeCell ref="I49:I50"/>
    <mergeCell ref="G109:H109"/>
    <mergeCell ref="G82:H82"/>
    <mergeCell ref="G83:H83"/>
    <mergeCell ref="G71:H71"/>
    <mergeCell ref="B44:I44"/>
    <mergeCell ref="G39:G40"/>
    <mergeCell ref="G43:H43"/>
    <mergeCell ref="C37:F40"/>
    <mergeCell ref="C41:F42"/>
    <mergeCell ref="B41:B42"/>
    <mergeCell ref="G84:H84"/>
    <mergeCell ref="D53:E54"/>
    <mergeCell ref="F53:F54"/>
    <mergeCell ref="G53:G54"/>
    <mergeCell ref="H53:H54"/>
    <mergeCell ref="G51:G52"/>
    <mergeCell ref="H37:I38"/>
    <mergeCell ref="B37:B40"/>
    <mergeCell ref="G37:G38"/>
    <mergeCell ref="G87:H87"/>
    <mergeCell ref="G88:H88"/>
    <mergeCell ref="E63:F64"/>
    <mergeCell ref="G103:H103"/>
    <mergeCell ref="G94:H94"/>
    <mergeCell ref="B24:E24"/>
    <mergeCell ref="H21:I21"/>
    <mergeCell ref="E21:G21"/>
    <mergeCell ref="E20:G20"/>
    <mergeCell ref="F24:G24"/>
    <mergeCell ref="F25:G25"/>
    <mergeCell ref="I45:I46"/>
    <mergeCell ref="G41:G42"/>
    <mergeCell ref="H41:I42"/>
    <mergeCell ref="B35:I35"/>
    <mergeCell ref="H39:I40"/>
    <mergeCell ref="H36:I36"/>
    <mergeCell ref="C36:F36"/>
    <mergeCell ref="G30:H30"/>
    <mergeCell ref="G34:H34"/>
    <mergeCell ref="G22:H22"/>
    <mergeCell ref="H24:I24"/>
    <mergeCell ref="H25:I25"/>
    <mergeCell ref="B28:D28"/>
    <mergeCell ref="B29:D29"/>
    <mergeCell ref="H28:I28"/>
    <mergeCell ref="B27:I27"/>
    <mergeCell ref="B25:E25"/>
    <mergeCell ref="B31:I31"/>
    <mergeCell ref="E18:G18"/>
    <mergeCell ref="H18:I18"/>
    <mergeCell ref="E19:G19"/>
    <mergeCell ref="H19:I19"/>
    <mergeCell ref="B18:D18"/>
    <mergeCell ref="B19:D19"/>
    <mergeCell ref="E17:G17"/>
    <mergeCell ref="H17:I17"/>
    <mergeCell ref="B23:I23"/>
    <mergeCell ref="G95:H95"/>
    <mergeCell ref="G96:H96"/>
    <mergeCell ref="G97:H97"/>
    <mergeCell ref="G98:H98"/>
    <mergeCell ref="G89:H89"/>
    <mergeCell ref="G90:H90"/>
    <mergeCell ref="G91:H91"/>
    <mergeCell ref="G92:H92"/>
    <mergeCell ref="G93:H93"/>
    <mergeCell ref="B3:I3"/>
    <mergeCell ref="B5:I5"/>
    <mergeCell ref="B4:I4"/>
    <mergeCell ref="B6:I6"/>
    <mergeCell ref="B7:I7"/>
    <mergeCell ref="H14:I14"/>
    <mergeCell ref="H15:I15"/>
    <mergeCell ref="B14:D14"/>
    <mergeCell ref="B15:D15"/>
    <mergeCell ref="C8:D8"/>
    <mergeCell ref="E8:F8"/>
    <mergeCell ref="F14:G14"/>
    <mergeCell ref="F15:G15"/>
    <mergeCell ref="B13:I13"/>
    <mergeCell ref="E10:I10"/>
    <mergeCell ref="E11:I11"/>
    <mergeCell ref="B10:D10"/>
    <mergeCell ref="B11:D11"/>
    <mergeCell ref="G9:H9"/>
    <mergeCell ref="G12:H12"/>
    <mergeCell ref="H16:I16"/>
    <mergeCell ref="D45:E46"/>
    <mergeCell ref="F45:F46"/>
    <mergeCell ref="G26:H26"/>
    <mergeCell ref="B56:I56"/>
    <mergeCell ref="G55:H55"/>
    <mergeCell ref="B53:C54"/>
    <mergeCell ref="H29:I29"/>
    <mergeCell ref="E28:F28"/>
    <mergeCell ref="E29:F29"/>
    <mergeCell ref="B32:F32"/>
    <mergeCell ref="B16:D16"/>
    <mergeCell ref="E16:G16"/>
    <mergeCell ref="H51:H52"/>
    <mergeCell ref="H45:H46"/>
    <mergeCell ref="G45:G46"/>
    <mergeCell ref="B45:C46"/>
    <mergeCell ref="B17:D17"/>
    <mergeCell ref="H20:I20"/>
    <mergeCell ref="B20:D20"/>
    <mergeCell ref="B21:D21"/>
    <mergeCell ref="B51:C52"/>
    <mergeCell ref="D51:E52"/>
    <mergeCell ref="F51:F52"/>
    <mergeCell ref="B47:C48"/>
    <mergeCell ref="F47:F48"/>
    <mergeCell ref="G47:G48"/>
    <mergeCell ref="H47:H48"/>
    <mergeCell ref="B49:C50"/>
    <mergeCell ref="D49:E50"/>
    <mergeCell ref="F49:F50"/>
    <mergeCell ref="G49:G50"/>
    <mergeCell ref="H49:H50"/>
    <mergeCell ref="I47:I48"/>
    <mergeCell ref="I51:I52"/>
    <mergeCell ref="I53:I54"/>
    <mergeCell ref="D47:E48"/>
    <mergeCell ref="B79:I79"/>
    <mergeCell ref="B80:I80"/>
    <mergeCell ref="B70:E70"/>
    <mergeCell ref="B58:I58"/>
    <mergeCell ref="B66:I66"/>
    <mergeCell ref="B59:I60"/>
    <mergeCell ref="B61:I61"/>
    <mergeCell ref="H63:H64"/>
    <mergeCell ref="B62:I62"/>
    <mergeCell ref="G65:H65"/>
    <mergeCell ref="G67:H67"/>
    <mergeCell ref="G68:H68"/>
    <mergeCell ref="C63:D63"/>
    <mergeCell ref="C64:D64"/>
    <mergeCell ref="B76:I77"/>
    <mergeCell ref="G75:H75"/>
    <mergeCell ref="G78:H78"/>
    <mergeCell ref="H74:I74"/>
  </mergeCells>
  <phoneticPr fontId="37" type="noConversion"/>
  <conditionalFormatting sqref="B11:I11 B15:I15 B17:I17 B19:I19 B21:I21 B25:I25 B29:I29 H39:I40 B68:E69">
    <cfRule type="containsBlanks" dxfId="2" priority="4">
      <formula>LEN(TRIM(B11))=0</formula>
    </cfRule>
  </conditionalFormatting>
  <conditionalFormatting sqref="F47:I47 B47:D47 F48:H48 B49:H54 B48:C48">
    <cfRule type="containsBlanks" dxfId="1" priority="1">
      <formula>LEN(TRIM(B47))=0</formula>
    </cfRule>
  </conditionalFormatting>
  <conditionalFormatting sqref="G63:G64 I63:I64 B64:D64 H69">
    <cfRule type="containsBlanks" dxfId="0" priority="5">
      <formula>LEN(TRIM(B63))=0</formula>
    </cfRule>
  </conditionalFormatting>
  <dataValidations xWindow="1156" yWindow="532" count="34">
    <dataValidation allowBlank="1" showInputMessage="1" showErrorMessage="1" promptTitle="Desde dd/mm/aa hasta dd/mm/aa" prompt="Ingresar la fehca de inicio y fin de la bitácora" sqref="E11:I11" xr:uid="{CD2FA053-183B-41CA-B267-B4277B8CA158}"/>
    <dataValidation allowBlank="1" showInputMessage="1" showErrorMessage="1" promptTitle="Desplegar y seleccionar" prompt="Desplegar y seleccionar el numero de bitacora actual" sqref="B11:D11" xr:uid="{3D01CEB2-123B-4C72-96E2-63C296030E46}"/>
    <dataValidation allowBlank="1" showInputMessage="1" showErrorMessage="1" prompt="Ingresar Nombres y apellidos de aprendiz, tal como regista en su docuemnto de identificacion" sqref="B15:D15" xr:uid="{A585EB3A-7529-4958-B886-65F5282307D7}"/>
    <dataValidation allowBlank="1" showInputMessage="1" showErrorMessage="1" prompt="Ingresar textualmente su tipo de documento. Ejemplo: Cedula de ciudadania, Pasaporte, Tarjeta de identidad, ETC" sqref="E15" xr:uid="{437B0CC8-2C29-408F-B68E-6F3A4ED1C7AC}"/>
    <dataValidation allowBlank="1" showInputMessage="1" showErrorMessage="1" prompt="Ingrese su numero de identificacion, sin puntos, comas o espacios." sqref="F15:G15" xr:uid="{B3CE04D9-03BB-4323-8FB6-BB3BDA206002}"/>
    <dataValidation allowBlank="1" showInputMessage="1" showErrorMessage="1" prompt="Ingrese su numero telefonico de contacto" sqref="H15:I15" xr:uid="{4C1C65DB-71C6-42A4-B182-2AFC8046A85E}"/>
    <dataValidation allowBlank="1" showInputMessage="1" showErrorMessage="1" prompt="Ingrese su correo SENA" sqref="B17:D17" xr:uid="{A60BB862-A55B-49F3-BA86-B60FD802C01D}"/>
    <dataValidation allowBlank="1" showInputMessage="1" showErrorMessage="1" prompt="Ingrese su correo personal" sqref="E17:G17" xr:uid="{32F1EB00-C1DD-4D21-B121-582E1CBC1029}"/>
    <dataValidation allowBlank="1" showInputMessage="1" showErrorMessage="1" prompt="Ingrese los datos de direccion de recidencia actual, incluyendo ciudad" sqref="H17:I17" xr:uid="{3DB420C9-8C3F-4FD2-BB93-3002ADC0D6C3}"/>
    <dataValidation allowBlank="1" showInputMessage="1" showErrorMessage="1" prompt="Ingrese el numero de ficha al que pertenece" sqref="B19:D19" xr:uid="{DFFFBA8D-FBA5-4BD3-AC44-D2490892B2EA}"/>
    <dataValidation allowBlank="1" showInputMessage="1" showErrorMessage="1" prompt="Técnico o Tecnólogo?" sqref="E19:G19" xr:uid="{4135DBDF-CCD6-4F5E-ABDB-9335530EEA9D}"/>
    <dataValidation allowBlank="1" showInputMessage="1" showErrorMessage="1" promptTitle="Ingresar si aplica" prompt="Presencial o Virtual?  . si no aplica favor colocar un PUNTO (.)" sqref="B21:D21" xr:uid="{8ADE279D-8C86-42BB-9BD1-0C0783D232C0}"/>
    <dataValidation allowBlank="1" showInputMessage="1" showErrorMessage="1" promptTitle=" Ingresar si aplica" prompt="SI o No. . si no aplica favor colocar un PUNTO (.)" sqref="E21:G21" xr:uid="{119BC392-23A1-4BFC-A774-9304C7DDB712}"/>
    <dataValidation allowBlank="1" showInputMessage="1" showErrorMessage="1" promptTitle="Ingresar si Aplica" prompt="Pais donde realiza la etapa prodcutiva. si no aplica favor colocar un PUNTO (.)" sqref="H21:I21" xr:uid="{5280C22F-00AE-41B5-9E83-D2C59488F783}"/>
    <dataValidation allowBlank="1" showInputMessage="1" showErrorMessage="1" prompt="Ingresar nombre completo de la empresa o entidad" sqref="B25:E25" xr:uid="{B4670DF2-9DBC-4520-BB5A-2DE1CAB39C9A}"/>
    <dataValidation allowBlank="1" showInputMessage="1" showErrorMessage="1" prompt="Ingresar el nit d ela empresa. Ejemplo: 800.1253.589-4" sqref="F25:G25" xr:uid="{F993400D-FE4B-492E-8488-7B9FCE16B32E}"/>
    <dataValidation allowBlank="1" showInputMessage="1" showErrorMessage="1" prompt="Nombre completo del jefe inmediato" sqref="B29:D29" xr:uid="{6A191D39-49DE-4071-9F80-28EDA6FC8105}"/>
    <dataValidation allowBlank="1" showInputMessage="1" showErrorMessage="1" prompt="Cargo del jefe inmediato" sqref="E29:F29" xr:uid="{502F3423-C33A-4471-B26C-FB0790F6B760}"/>
    <dataValidation allowBlank="1" showInputMessage="1" showErrorMessage="1" prompt="Ingresar numero de contacto." sqref="G29" xr:uid="{8643D366-4A6B-4DA2-A344-53B316943693}"/>
    <dataValidation allowBlank="1" showInputMessage="1" showErrorMessage="1" prompt="Correo electrónico del jefe inmediato" sqref="H29:I29" xr:uid="{85054B10-E824-4537-9671-AA0ADB26EDBD}"/>
    <dataValidation allowBlank="1" showInputMessage="1" showErrorMessage="1" prompt="Ingresar las actividades desarrolladas. ejemplo :Sesión informativa sobre seguridad de infraestructura y validación de protocolos . Solución del fallo en el sistema de correos automáticos (debugging y validación).etc..." sqref="B47:C54" xr:uid="{1EF4E3E9-6D3D-4AE1-8170-FF1AAEA1E1B9}"/>
    <dataValidation allowBlank="1" showInputMessage="1" showErrorMessage="1" prompt="Ingresar fecha de inicio de la actividad" sqref="F47:F54" xr:uid="{32DD5E98-EAF7-430B-97F3-79C3622F702E}"/>
    <dataValidation allowBlank="1" showInputMessage="1" showErrorMessage="1" prompt="Ingresar fecha de finalizacion de la actividad" sqref="G47:G54" xr:uid="{145C53F1-D232-49E6-A4AB-B178BD1CDE8E}"/>
    <dataValidation allowBlank="1" showInputMessage="1" showErrorMessage="1" promptTitle="NO VAN CAPTURAS DE PANTALLA" prompt="Ejemplo 1: Documento: Documento (material del curso de diseño web revisado y aplicado. _x000a_Ejemplo 2:  Proceso (validación de ejecución de parchados_x000a_en servidores)._x000a_Ejemplo 3: Producto: Aplicacion WEB (Se aclara son ejemplos)" sqref="H49:H54" xr:uid="{1B955B8F-68CD-419F-B5E8-35AC173B4957}"/>
    <dataValidation allowBlank="1" showInputMessage="1" showErrorMessage="1" promptTitle="NO VAN CAPTURAS DE PANTALLA" prompt="Ingresar informacion del desarrollo de la actividad. si hay otro tipo de informa favor relacionarla. (Ejemplo, retrasos, incumplimientos. etc). SI POR TEMAS DE CONFIDENCIALIDAD D ELA INFORMACION NO SE PUEDEN ANEXAR CAPTURAS, FAVOR DEJARLO POR ESCRITO ACA." sqref="I47" xr:uid="{67EE6F84-95FA-40E8-86A9-4393D2B1D5BB}"/>
    <dataValidation allowBlank="1" showInputMessage="1" showErrorMessage="1" promptTitle="NO VAN CAPTURAS DE PANTALLA" prompt="Ejemplo 1: Documento: Documento (material del curso de diseño web revisado y aplicado. _x000a_Ejemplo 2:  Proceso (validación de ejecución de parchados_x000a_en servidores)._x000a_Ejemplo 3: Producto: Aplicacion WEB (Se aclara son ejemplos). NO VAN CAPTURAS DE PANTALLA" sqref="H47:H48" xr:uid="{CBCC16C2-11EE-4F06-BE98-4BF1A24BDE5E}"/>
    <dataValidation allowBlank="1" showInputMessage="1" showErrorMessage="1" promptTitle="Si / NO" prompt="Si / NO" sqref="B64" xr:uid="{399AC36A-2FBC-4A36-BEF2-DB6479D0AE91}"/>
    <dataValidation allowBlank="1" showInputMessage="1" showErrorMessage="1" prompt="Indiquie el nivel asignado de riego del 1 al 5" sqref="C64:D64" xr:uid="{0B51F00F-01A3-4D67-B07C-4E070A35CC22}"/>
    <dataValidation allowBlank="1" showInputMessage="1" showErrorMessage="1" promptTitle="Si / No" prompt="Si / No" sqref="G63:G64" xr:uid="{635C8396-AD4E-4569-B1B1-E0EA70CFBAA0}"/>
    <dataValidation allowBlank="1" showInputMessage="1" showErrorMessage="1" promptTitle="Si / No/ Na" prompt="Si / No/ Na" sqref="I63:I64" xr:uid="{063D55C3-396A-4363-AE8F-8162D9A36EE0}"/>
    <dataValidation allowBlank="1" showInputMessage="1" showErrorMessage="1" promptTitle="Ingresar fecha de entrega" prompt="Ingresar fecha de entrega de bitácora dd/mm/aa" sqref="H69" xr:uid="{A289CADA-9F97-4709-9E74-EED0C11350F2}"/>
    <dataValidation allowBlank="1" showInputMessage="1" showErrorMessage="1" prompt="Ingresar la firma del aprendiz grafiada o imagen, limpiar el fondo de la firma si se evidencia. No se aceptan firmas Digitadas" sqref="B68:E69" xr:uid="{90E307A6-D82C-4A80-A2FC-BA73B014E285}"/>
    <dataValidation allowBlank="1" showInputMessage="1" showErrorMessage="1" prompt="Ingresar la firma del ente coformador grafiada o imagen, limpiar el fondo de la firma si se evidencia. No se aceptan firmas Digitadas" sqref="H72:I73" xr:uid="{7512F129-C76A-4EA5-A2F0-83202D854C4C}"/>
    <dataValidation allowBlank="1" showInputMessage="1" showErrorMessage="1" promptTitle="Ingresar Capturas de pantalla ev" prompt="Ingresa las evidencias de cumplimiento, como capturas de pantalla o fotografias segun sea el caso" sqref="B81:I81" xr:uid="{40D2D8F2-1FE7-4A55-AF5E-54C9B05900F3}"/>
  </dataValidations>
  <hyperlinks>
    <hyperlink ref="B17" r:id="rId1" xr:uid="{273C202A-116C-4A92-AF64-DA5BBF7E530F}"/>
    <hyperlink ref="E17" r:id="rId2" xr:uid="{E3B5E065-0AF5-416E-95F4-79D4345FB201}"/>
    <hyperlink ref="H29" r:id="rId3" xr:uid="{D006C59E-5C4A-4DAB-B4FA-CA1AFD16CACD}"/>
  </hyperlinks>
  <pageMargins left="0.51181102362204722" right="0.51181102362204722" top="0.35433070866141736" bottom="0.35433070866141736" header="0.31496062992125984" footer="0.31496062992125984"/>
  <pageSetup paperSize="5" scale="38" fitToHeight="0" orientation="portrait" horizontalDpi="4294967294" r:id="rId4"/>
  <drawing r:id="rId5"/>
  <extLst>
    <ext xmlns:x14="http://schemas.microsoft.com/office/spreadsheetml/2009/9/main" uri="{CCE6A557-97BC-4b89-ADB6-D9C93CAAB3DF}">
      <x14:dataValidations xmlns:xm="http://schemas.microsoft.com/office/excel/2006/main" xWindow="1156" yWindow="532" count="2">
        <x14:dataValidation type="list" allowBlank="1" showInputMessage="1" showErrorMessage="1" prompt="Ingresar el programa de formacion al que pertenece" xr:uid="{B93300CA-489F-49BB-A3E5-3614F8952259}">
          <x14:formula1>
            <xm:f>_xlfn.ANCHORARRAY(BD_SENA!$E$2)</xm:f>
          </x14:formula1>
          <xm:sqref>H19:I19</xm:sqref>
        </x14:dataValidation>
        <x14:dataValidation type="list" allowBlank="1" showInputMessage="1" showErrorMessage="1" promptTitle="Despliegue el listado AQUI" prompt="Ingresar la competencia del programa que abarca la actividad realizada, debe ser de las competencias concertadas inicialmente en el formato F023 visita 1" xr:uid="{0D8BD481-B72E-43AC-9736-661B2F1B5B5C}">
          <x14:formula1>
            <xm:f>_xlfn.ANCHORARRAY(BD_SENA!$F$2)</xm:f>
          </x14:formula1>
          <xm:sqref>E49:E54 D47 D49:D54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5944-189C-4F5D-9CE2-C4B36B6B91BB}">
  <dimension ref="A1:K39"/>
  <sheetViews>
    <sheetView topLeftCell="B1" workbookViewId="0">
      <selection activeCell="F3" sqref="F3"/>
    </sheetView>
  </sheetViews>
  <sheetFormatPr baseColWidth="10" defaultRowHeight="14.5" x14ac:dyDescent="0.35"/>
  <cols>
    <col min="1" max="1" width="17.453125" customWidth="1"/>
    <col min="2" max="2" width="58.7265625" customWidth="1"/>
    <col min="3" max="3" width="133" customWidth="1"/>
    <col min="5" max="5" width="29.26953125" customWidth="1"/>
    <col min="6" max="6" width="23" customWidth="1"/>
    <col min="7" max="7" width="10.1796875" customWidth="1"/>
  </cols>
  <sheetData>
    <row r="1" spans="1:11" ht="15" thickBot="1" x14ac:dyDescent="0.4">
      <c r="A1" s="60" t="s">
        <v>106</v>
      </c>
      <c r="B1" s="61" t="s">
        <v>107</v>
      </c>
      <c r="C1" s="62" t="s">
        <v>108</v>
      </c>
    </row>
    <row r="2" spans="1:11" ht="25.5" thickBot="1" x14ac:dyDescent="0.4">
      <c r="A2" s="63" t="s">
        <v>109</v>
      </c>
      <c r="B2" s="64" t="s">
        <v>110</v>
      </c>
      <c r="C2" s="67" t="s">
        <v>123</v>
      </c>
      <c r="E2" t="str" cm="1">
        <f t="array" ref="E2:E3">_xlfn.UNIQUE(TablaSena[PROGRAMA])</f>
        <v>Análisis y Desarrollo de Software</v>
      </c>
      <c r="F2" t="str" cm="1">
        <f t="array" ref="F2:F8">_xlfn.UNIQUE(_xlfn._xlws.FILTER(TablaSena[COMPETENCIA], TablaSena[PROGRAMA]=Bitacora!$H$19, "Seleccione Programa"))</f>
        <v>38392 - Establecer requisitos de la solución de software de acuerdo con estándares y procedimiento técnico</v>
      </c>
      <c r="G2" t="str" cm="1">
        <f t="array" ref="G2:G5">_xlfn._xlws.FILTER(TablaSena[RESULTADO DE APRENDIZAJE (RAP)], TablaSena[COMPETENCIA]='[1]Formato Visita 1'!$C$50, "...")</f>
        <v>593346 - 01 CARACTERIZAR LOS PROCESOS DE LA ORGANIZACIÓN DE ACUERDO CON EL SOFTWARE A CONSTRUIR</v>
      </c>
      <c r="H2" t="str" cm="1">
        <f t="array" ref="H2:H5">_xlfn._xlws.FILTER(TablaSena[RESULTADO DE APRENDIZAJE (RAP)], TablaSena[COMPETENCIA]='[1]Formato Visita 1'!$C$51, "...")</f>
        <v>593101 - 02 ESTRUCTURAR EL MODELO DE DATOS DEL SOFTWARE DE ACUERDO CON LAS ESPECIFICACIONES DEL ANÁLISIS</v>
      </c>
      <c r="I2" t="str" cm="1">
        <f t="array" ref="I2:I6">_xlfn._xlws.FILTER(TablaSena[RESULTADO DE APRENDIZAJE (RAP)], TablaSena[COMPETENCIA]='[1]Formato Visita 1'!$C$52, "...")</f>
        <v>593107 - 02 CONSTRUIR LA BASE DE DATOS PARA EL SOFTWARE A PARTIR DEL MODELO DE DATOS</v>
      </c>
      <c r="J2" t="str" cm="1">
        <f t="array" ref="J2:J3">_xlfn._xlws.FILTER(TablaSena[RESULTADO DE APRENDIZAJE (RAP)], TablaSena[COMPETENCIA]='[1]Formato Visita 1'!$C$53, "...")</f>
        <v>593060 - 01 DEFINIR ESPECIFICACIONES TÉCNICAS DEL SOFTWARE DE ACUERDO CON LAS CARACTERÍSTICAS DEL SOFTWARE A CONSTRUIR</v>
      </c>
      <c r="K2" t="str" cm="1">
        <f t="array" ref="K2:K5">_xlfn._xlws.FILTER(TablaSena[RESULTADO DE APRENDIZAJE (RAP)], TablaSena[COMPETENCIA]='[1]Formato Visita 1'!$C$54, "...")</f>
        <v>592375 - 01 PLANEAR ACTIVIDADES DE ANÁLISIS DE ACUERDO CON LA METODOLOGÍA SELECCIONADA</v>
      </c>
    </row>
    <row r="3" spans="1:11" ht="25.5" thickBot="1" x14ac:dyDescent="0.4">
      <c r="A3" s="63" t="s">
        <v>109</v>
      </c>
      <c r="B3" s="64" t="s">
        <v>110</v>
      </c>
      <c r="C3" s="67" t="s">
        <v>124</v>
      </c>
      <c r="E3" t="str">
        <v>Programación de Software</v>
      </c>
      <c r="F3" t="str">
        <v>38376 - Evaluar requisitos de la solución de software de acuerdo con metodologías de análisis y estándares</v>
      </c>
      <c r="G3" t="str">
        <v>593345 - 04 VALIDAR EL INFORME DE REQUISITOS DE ACUERDO CON LAS NECESIDADES DEL CLIENTE</v>
      </c>
      <c r="H3" t="str">
        <v>593103 - 01 ELABORAR LOS ARTEFACTOS DE DISEÑO DEL SOFTWARE SIGUIENDO LAS PRÁCTICAS DE LA METODOLOGÍA SELECCIONADA</v>
      </c>
      <c r="I3" t="str">
        <v>593106 - 01 PLANEAR ACTIVIDADES DE CONSTRUCCIÓN DEL SOFTWARE DE ACUERDO CON EL DISEÑO ESTABLECIDO</v>
      </c>
      <c r="J3" t="str">
        <v>593062 - 02 ELABORAR PROPUESTA TÉCNICA DEL SOFTWARE DE ACUERDO CON LAS ESPECIFICACIONES TÉCNICAS DEFINIDAS</v>
      </c>
      <c r="K3" t="str">
        <v>592374 - 04 VERIFICAR LOS MODELOS REALIZADOS EN LA FASE DE ANÁLISIS DE ACUERDO CON LO ESTABLECIDO EN EL INFORME DE REQUISITOS</v>
      </c>
    </row>
    <row r="4" spans="1:11" ht="25.5" thickBot="1" x14ac:dyDescent="0.4">
      <c r="A4" s="63" t="s">
        <v>109</v>
      </c>
      <c r="B4" s="64" t="s">
        <v>110</v>
      </c>
      <c r="C4" s="67" t="s">
        <v>125</v>
      </c>
      <c r="F4" t="str">
        <v>38362 - Diseñar la solución de software de acuerdo con procedimientos y requisitos técnicos</v>
      </c>
      <c r="G4" t="str">
        <v>593344 - 02 RECOLECTAR INFORMACIÓN DEL SOFTWARE A CONSTRUIR DE ACUERDO CON LAS NECESIDADES DEL CLIENTE</v>
      </c>
      <c r="H4" t="str">
        <v>593102 - 04 VERIFICAR LOS ENTREGABLES DE LA FASE DE DISEÑO DEL SOFTWARE DE ACUERDO CON LO ESTABLECIDO EN EL INFORME DE ANÁLISIS</v>
      </c>
      <c r="I4" t="str">
        <v>593104 - 03 CREAR COMPONENTES FRONT-END DEL SOFTWARE DE ACUERDO CON EL DISEÑO</v>
      </c>
      <c r="K4" t="str">
        <v>592376 - 03 DESARROLLAR PROCESOS LÓGICOS A TRAVÉS DE LA IMPLEMENTACIÓN DE ALGORITMOS</v>
      </c>
    </row>
    <row r="5" spans="1:11" ht="25.5" thickBot="1" x14ac:dyDescent="0.4">
      <c r="A5" s="63" t="s">
        <v>109</v>
      </c>
      <c r="B5" s="64" t="s">
        <v>110</v>
      </c>
      <c r="C5" s="67" t="s">
        <v>126</v>
      </c>
      <c r="F5" t="str">
        <v>38368 - Desarrollar la solución de software de acuerdo con el diseño y metodologías de desarrollo</v>
      </c>
      <c r="G5" t="str">
        <v>38392 - 03 ESTABLECER LOS REQUISITOS DEL SOFTWARE DE ACUERDO CON LA INFORMACIÓN RECOLECTADA</v>
      </c>
      <c r="H5" t="str">
        <v>593100 - 03 DETERMINAR LAS CARACTERÍSTICAS TÉCNICAS DE LA INTERFAZ GRÁFICA DEL SOFTWARE ADOPTANDO ESTÁNDARES</v>
      </c>
      <c r="I5" t="str">
        <v>593108 - 04 CODIFICAR EL SOFTWARE DE ACUERDO CON EL DISEÑO ESTABLECIDO</v>
      </c>
      <c r="K5" t="str">
        <v>592373 - 02 MODELAR LAS FUNCIONES DEL SOFTWARE DE ACUERDO CON EL INFORME DE REQUISITOS</v>
      </c>
    </row>
    <row r="6" spans="1:11" ht="25.5" thickBot="1" x14ac:dyDescent="0.4">
      <c r="A6" s="63" t="s">
        <v>109</v>
      </c>
      <c r="B6" s="64" t="s">
        <v>111</v>
      </c>
      <c r="C6" s="67" t="s">
        <v>127</v>
      </c>
      <c r="F6" t="str">
        <v>38369 - Controlar la calidad del servicio de software de acuerdo con los estándares técnicos</v>
      </c>
      <c r="I6" t="str">
        <v>593105 - 05 REALIZAR PRUEBAS AL SOFTWARE PARA VERIFICAR SU FUNCIONALIDAD</v>
      </c>
    </row>
    <row r="7" spans="1:11" ht="25.5" thickBot="1" x14ac:dyDescent="0.4">
      <c r="A7" s="63" t="s">
        <v>109</v>
      </c>
      <c r="B7" s="64" t="s">
        <v>111</v>
      </c>
      <c r="C7" s="67" t="s">
        <v>128</v>
      </c>
      <c r="F7" t="str">
        <v>38367 - Estructurar propuesta técnica de servicio de tecnología de la información según requisitos técnicos y normativa</v>
      </c>
    </row>
    <row r="8" spans="1:11" ht="25.5" thickBot="1" x14ac:dyDescent="0.4">
      <c r="A8" s="63" t="s">
        <v>109</v>
      </c>
      <c r="B8" s="64" t="s">
        <v>111</v>
      </c>
      <c r="C8" s="67" t="s">
        <v>129</v>
      </c>
      <c r="F8" t="str">
        <v>38356 - Implementar la solución de software de acuerdo con los requisitos de operación y modelos de referencia</v>
      </c>
    </row>
    <row r="9" spans="1:11" ht="25.5" thickBot="1" x14ac:dyDescent="0.4">
      <c r="A9" s="63" t="s">
        <v>109</v>
      </c>
      <c r="B9" s="64" t="s">
        <v>111</v>
      </c>
      <c r="C9" s="67" t="s">
        <v>130</v>
      </c>
    </row>
    <row r="10" spans="1:11" ht="25.5" thickBot="1" x14ac:dyDescent="0.4">
      <c r="A10" s="63" t="s">
        <v>109</v>
      </c>
      <c r="B10" s="64" t="s">
        <v>112</v>
      </c>
      <c r="C10" s="67" t="s">
        <v>131</v>
      </c>
    </row>
    <row r="11" spans="1:11" ht="25.5" thickBot="1" x14ac:dyDescent="0.4">
      <c r="A11" s="63" t="s">
        <v>109</v>
      </c>
      <c r="B11" s="64" t="s">
        <v>112</v>
      </c>
      <c r="C11" s="67" t="s">
        <v>132</v>
      </c>
    </row>
    <row r="12" spans="1:11" ht="25.5" thickBot="1" x14ac:dyDescent="0.4">
      <c r="A12" s="63" t="s">
        <v>109</v>
      </c>
      <c r="B12" s="64" t="s">
        <v>112</v>
      </c>
      <c r="C12" s="67" t="s">
        <v>133</v>
      </c>
    </row>
    <row r="13" spans="1:11" ht="25.5" thickBot="1" x14ac:dyDescent="0.4">
      <c r="A13" s="63" t="s">
        <v>109</v>
      </c>
      <c r="B13" s="64" t="s">
        <v>112</v>
      </c>
      <c r="C13" s="67" t="s">
        <v>134</v>
      </c>
    </row>
    <row r="14" spans="1:11" ht="25.5" thickBot="1" x14ac:dyDescent="0.4">
      <c r="A14" s="63" t="s">
        <v>109</v>
      </c>
      <c r="B14" s="64" t="s">
        <v>113</v>
      </c>
      <c r="C14" s="67" t="s">
        <v>135</v>
      </c>
    </row>
    <row r="15" spans="1:11" ht="25.5" thickBot="1" x14ac:dyDescent="0.4">
      <c r="A15" s="63" t="s">
        <v>109</v>
      </c>
      <c r="B15" s="64" t="s">
        <v>113</v>
      </c>
      <c r="C15" s="67" t="s">
        <v>136</v>
      </c>
    </row>
    <row r="16" spans="1:11" ht="25.5" thickBot="1" x14ac:dyDescent="0.4">
      <c r="A16" s="63" t="s">
        <v>109</v>
      </c>
      <c r="B16" s="64" t="s">
        <v>113</v>
      </c>
      <c r="C16" s="67" t="s">
        <v>137</v>
      </c>
    </row>
    <row r="17" spans="1:3" ht="25.5" thickBot="1" x14ac:dyDescent="0.4">
      <c r="A17" s="63" t="s">
        <v>109</v>
      </c>
      <c r="B17" s="64" t="s">
        <v>113</v>
      </c>
      <c r="C17" s="67" t="s">
        <v>138</v>
      </c>
    </row>
    <row r="18" spans="1:3" ht="25.5" thickBot="1" x14ac:dyDescent="0.4">
      <c r="A18" s="63" t="s">
        <v>109</v>
      </c>
      <c r="B18" s="64" t="s">
        <v>113</v>
      </c>
      <c r="C18" s="67" t="s">
        <v>139</v>
      </c>
    </row>
    <row r="19" spans="1:3" ht="25.5" thickBot="1" x14ac:dyDescent="0.4">
      <c r="A19" s="63" t="s">
        <v>109</v>
      </c>
      <c r="B19" s="64" t="s">
        <v>114</v>
      </c>
      <c r="C19" s="67" t="s">
        <v>140</v>
      </c>
    </row>
    <row r="20" spans="1:3" ht="25.5" thickBot="1" x14ac:dyDescent="0.4">
      <c r="A20" s="63" t="s">
        <v>109</v>
      </c>
      <c r="B20" s="64" t="s">
        <v>114</v>
      </c>
      <c r="C20" s="67" t="s">
        <v>141</v>
      </c>
    </row>
    <row r="21" spans="1:3" ht="25.5" thickBot="1" x14ac:dyDescent="0.4">
      <c r="A21" s="63" t="s">
        <v>109</v>
      </c>
      <c r="B21" s="64" t="s">
        <v>114</v>
      </c>
      <c r="C21" s="67" t="s">
        <v>142</v>
      </c>
    </row>
    <row r="22" spans="1:3" ht="25.5" thickBot="1" x14ac:dyDescent="0.4">
      <c r="A22" s="63" t="s">
        <v>109</v>
      </c>
      <c r="B22" s="64" t="s">
        <v>115</v>
      </c>
      <c r="C22" s="67" t="s">
        <v>143</v>
      </c>
    </row>
    <row r="23" spans="1:3" ht="25.5" thickBot="1" x14ac:dyDescent="0.4">
      <c r="A23" s="63" t="s">
        <v>109</v>
      </c>
      <c r="B23" s="64" t="s">
        <v>115</v>
      </c>
      <c r="C23" s="67" t="s">
        <v>144</v>
      </c>
    </row>
    <row r="24" spans="1:3" ht="25.5" thickBot="1" x14ac:dyDescent="0.4">
      <c r="A24" s="63" t="s">
        <v>109</v>
      </c>
      <c r="B24" s="64" t="s">
        <v>116</v>
      </c>
      <c r="C24" s="67" t="s">
        <v>145</v>
      </c>
    </row>
    <row r="25" spans="1:3" ht="25.5" thickBot="1" x14ac:dyDescent="0.4">
      <c r="A25" s="63" t="s">
        <v>109</v>
      </c>
      <c r="B25" s="64" t="s">
        <v>116</v>
      </c>
      <c r="C25" s="67" t="s">
        <v>146</v>
      </c>
    </row>
    <row r="26" spans="1:3" ht="25.5" thickBot="1" x14ac:dyDescent="0.4">
      <c r="A26" s="63" t="s">
        <v>109</v>
      </c>
      <c r="B26" s="64" t="s">
        <v>116</v>
      </c>
      <c r="C26" s="67" t="s">
        <v>147</v>
      </c>
    </row>
    <row r="27" spans="1:3" ht="25.5" thickBot="1" x14ac:dyDescent="0.4">
      <c r="A27" s="63" t="s">
        <v>109</v>
      </c>
      <c r="B27" s="64" t="s">
        <v>116</v>
      </c>
      <c r="C27" s="67" t="s">
        <v>148</v>
      </c>
    </row>
    <row r="28" spans="1:3" ht="25.5" thickBot="1" x14ac:dyDescent="0.4">
      <c r="A28" s="63" t="s">
        <v>117</v>
      </c>
      <c r="B28" s="64" t="s">
        <v>118</v>
      </c>
      <c r="C28" s="67" t="s">
        <v>149</v>
      </c>
    </row>
    <row r="29" spans="1:3" ht="25.5" thickBot="1" x14ac:dyDescent="0.4">
      <c r="A29" s="63" t="s">
        <v>117</v>
      </c>
      <c r="B29" s="64" t="s">
        <v>118</v>
      </c>
      <c r="C29" s="67" t="s">
        <v>150</v>
      </c>
    </row>
    <row r="30" spans="1:3" ht="25.5" thickBot="1" x14ac:dyDescent="0.4">
      <c r="A30" s="63" t="s">
        <v>117</v>
      </c>
      <c r="B30" s="64" t="s">
        <v>118</v>
      </c>
      <c r="C30" s="67" t="s">
        <v>151</v>
      </c>
    </row>
    <row r="31" spans="1:3" ht="25.5" thickBot="1" x14ac:dyDescent="0.4">
      <c r="A31" s="63" t="s">
        <v>117</v>
      </c>
      <c r="B31" s="64" t="s">
        <v>118</v>
      </c>
      <c r="C31" s="67" t="s">
        <v>152</v>
      </c>
    </row>
    <row r="32" spans="1:3" ht="25.5" thickBot="1" x14ac:dyDescent="0.4">
      <c r="A32" s="63" t="s">
        <v>117</v>
      </c>
      <c r="B32" s="64" t="s">
        <v>119</v>
      </c>
      <c r="C32" s="67" t="s">
        <v>153</v>
      </c>
    </row>
    <row r="33" spans="1:3" ht="25.5" thickBot="1" x14ac:dyDescent="0.4">
      <c r="A33" s="63" t="s">
        <v>117</v>
      </c>
      <c r="B33" s="64" t="s">
        <v>119</v>
      </c>
      <c r="C33" s="67" t="s">
        <v>154</v>
      </c>
    </row>
    <row r="34" spans="1:3" ht="25.5" thickBot="1" x14ac:dyDescent="0.4">
      <c r="A34" s="63" t="s">
        <v>117</v>
      </c>
      <c r="B34" s="64" t="s">
        <v>119</v>
      </c>
      <c r="C34" s="67" t="s">
        <v>155</v>
      </c>
    </row>
    <row r="35" spans="1:3" ht="25.5" thickBot="1" x14ac:dyDescent="0.4">
      <c r="A35" s="63" t="s">
        <v>117</v>
      </c>
      <c r="B35" s="64" t="s">
        <v>120</v>
      </c>
      <c r="C35" s="67" t="s">
        <v>156</v>
      </c>
    </row>
    <row r="36" spans="1:3" ht="25.5" thickBot="1" x14ac:dyDescent="0.4">
      <c r="A36" s="63" t="s">
        <v>117</v>
      </c>
      <c r="B36" s="64" t="s">
        <v>120</v>
      </c>
      <c r="C36" s="67" t="s">
        <v>157</v>
      </c>
    </row>
    <row r="37" spans="1:3" ht="25.5" thickBot="1" x14ac:dyDescent="0.4">
      <c r="A37" s="63" t="s">
        <v>117</v>
      </c>
      <c r="B37" s="64" t="s">
        <v>121</v>
      </c>
      <c r="C37" s="67" t="s">
        <v>158</v>
      </c>
    </row>
    <row r="38" spans="1:3" ht="25.5" thickBot="1" x14ac:dyDescent="0.4">
      <c r="A38" s="63" t="s">
        <v>117</v>
      </c>
      <c r="B38" s="64" t="s">
        <v>121</v>
      </c>
      <c r="C38" s="67" t="s">
        <v>159</v>
      </c>
    </row>
    <row r="39" spans="1:3" ht="25" x14ac:dyDescent="0.35">
      <c r="A39" s="65" t="s">
        <v>117</v>
      </c>
      <c r="B39" s="66" t="s">
        <v>122</v>
      </c>
      <c r="C39" s="68" t="s">
        <v>160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D29B-37DE-45D6-8EA7-98C4A952DFFE}">
  <dimension ref="D1:D12"/>
  <sheetViews>
    <sheetView workbookViewId="0">
      <selection activeCell="D1" sqref="D1:D12"/>
    </sheetView>
  </sheetViews>
  <sheetFormatPr baseColWidth="10" defaultColWidth="11.453125" defaultRowHeight="14.5" x14ac:dyDescent="0.35"/>
  <sheetData>
    <row r="1" spans="4:4" x14ac:dyDescent="0.35">
      <c r="D1">
        <v>1</v>
      </c>
    </row>
    <row r="2" spans="4:4" x14ac:dyDescent="0.35">
      <c r="D2">
        <v>2</v>
      </c>
    </row>
    <row r="3" spans="4:4" x14ac:dyDescent="0.35">
      <c r="D3">
        <v>3</v>
      </c>
    </row>
    <row r="4" spans="4:4" x14ac:dyDescent="0.35">
      <c r="D4">
        <v>4</v>
      </c>
    </row>
    <row r="5" spans="4:4" x14ac:dyDescent="0.35">
      <c r="D5">
        <v>5</v>
      </c>
    </row>
    <row r="6" spans="4:4" x14ac:dyDescent="0.35">
      <c r="D6">
        <v>6</v>
      </c>
    </row>
    <row r="7" spans="4:4" x14ac:dyDescent="0.35">
      <c r="D7">
        <v>7</v>
      </c>
    </row>
    <row r="8" spans="4:4" x14ac:dyDescent="0.35">
      <c r="D8">
        <v>8</v>
      </c>
    </row>
    <row r="9" spans="4:4" x14ac:dyDescent="0.35">
      <c r="D9">
        <v>9</v>
      </c>
    </row>
    <row r="10" spans="4:4" x14ac:dyDescent="0.35">
      <c r="D10">
        <v>10</v>
      </c>
    </row>
    <row r="11" spans="4:4" x14ac:dyDescent="0.35">
      <c r="D11">
        <v>11</v>
      </c>
    </row>
    <row r="12" spans="4:4" x14ac:dyDescent="0.35">
      <c r="D1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53125" defaultRowHeight="14.5" x14ac:dyDescent="0.35"/>
  <cols>
    <col min="1" max="20" width="5.7265625" style="1" customWidth="1"/>
    <col min="21" max="24" width="8.453125" style="1" customWidth="1"/>
    <col min="25" max="16384" width="11.453125" style="1"/>
  </cols>
  <sheetData>
    <row r="1" spans="1:24" ht="18.5" x14ac:dyDescent="0.45">
      <c r="A1" s="284" t="s">
        <v>72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 t="s">
        <v>73</v>
      </c>
      <c r="V1" s="284"/>
      <c r="W1" s="284"/>
      <c r="X1" s="284"/>
    </row>
    <row r="2" spans="1:24" ht="33" customHeight="1" x14ac:dyDescent="0.45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64" t="s">
        <v>74</v>
      </c>
      <c r="V2" s="264"/>
      <c r="W2" s="264"/>
      <c r="X2" s="264"/>
    </row>
    <row r="3" spans="1:24" ht="33" customHeight="1" thickBot="1" x14ac:dyDescent="0.4">
      <c r="U3" s="291"/>
      <c r="V3" s="291"/>
      <c r="W3" s="291"/>
      <c r="X3" s="291"/>
    </row>
    <row r="4" spans="1:24" s="2" customFormat="1" ht="18" customHeight="1" thickBot="1" x14ac:dyDescent="0.4">
      <c r="A4" s="288" t="s">
        <v>75</v>
      </c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90"/>
      <c r="N4" s="288" t="s">
        <v>76</v>
      </c>
      <c r="O4" s="289"/>
      <c r="P4" s="289"/>
      <c r="Q4" s="289"/>
      <c r="R4" s="289"/>
      <c r="S4" s="289"/>
      <c r="T4" s="289"/>
      <c r="U4" s="289"/>
      <c r="V4" s="289"/>
      <c r="W4" s="289"/>
      <c r="X4" s="290"/>
    </row>
    <row r="5" spans="1:24" ht="18" customHeight="1" thickBot="1" x14ac:dyDescent="0.4">
      <c r="A5" s="285"/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7"/>
      <c r="N5" s="285"/>
      <c r="O5" s="286"/>
      <c r="P5" s="286"/>
      <c r="Q5" s="286"/>
      <c r="R5" s="286"/>
      <c r="S5" s="286"/>
      <c r="T5" s="286"/>
      <c r="U5" s="286"/>
      <c r="V5" s="286"/>
      <c r="W5" s="286"/>
      <c r="X5" s="287"/>
    </row>
    <row r="6" spans="1:24" ht="10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5">
      <c r="A7" s="262" t="s">
        <v>77</v>
      </c>
      <c r="B7" s="262"/>
      <c r="C7" s="262"/>
      <c r="D7" s="262"/>
      <c r="E7" s="262"/>
      <c r="F7" s="262"/>
      <c r="G7" s="262"/>
      <c r="H7" s="262"/>
      <c r="I7" s="262"/>
      <c r="J7" s="262" t="s">
        <v>78</v>
      </c>
      <c r="K7" s="262"/>
      <c r="L7" s="262"/>
      <c r="M7" s="262"/>
      <c r="N7" s="262"/>
      <c r="O7" s="262"/>
      <c r="P7" s="262" t="s">
        <v>79</v>
      </c>
      <c r="Q7" s="262"/>
      <c r="R7" s="262"/>
      <c r="S7" s="262"/>
      <c r="T7" s="262"/>
      <c r="U7" s="262"/>
      <c r="V7" s="262"/>
      <c r="W7" s="262"/>
      <c r="X7" s="262"/>
    </row>
    <row r="8" spans="1:24" ht="18" customHeight="1" x14ac:dyDescent="0.35">
      <c r="A8" s="269"/>
      <c r="B8" s="269"/>
      <c r="C8" s="269"/>
      <c r="D8" s="269"/>
      <c r="E8" s="269"/>
      <c r="F8" s="269"/>
      <c r="G8" s="269"/>
      <c r="H8" s="269"/>
      <c r="I8" s="269"/>
      <c r="J8" s="270" t="s">
        <v>80</v>
      </c>
      <c r="K8" s="271"/>
      <c r="L8" s="271"/>
      <c r="M8" s="271"/>
      <c r="N8" s="271"/>
      <c r="O8" s="272"/>
      <c r="P8" s="270" t="s">
        <v>81</v>
      </c>
      <c r="Q8" s="271"/>
      <c r="R8" s="271"/>
      <c r="S8" s="271"/>
      <c r="T8" s="271"/>
      <c r="U8" s="271"/>
      <c r="V8" s="271"/>
      <c r="W8" s="271"/>
      <c r="X8" s="272"/>
    </row>
    <row r="9" spans="1:24" ht="10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5">
      <c r="A10" s="282" t="s">
        <v>82</v>
      </c>
      <c r="B10" s="282"/>
      <c r="C10" s="282"/>
      <c r="D10" s="282"/>
      <c r="E10" s="282"/>
      <c r="F10" s="282"/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</row>
    <row r="11" spans="1:24" ht="18" customHeight="1" x14ac:dyDescent="0.35">
      <c r="A11" s="283" t="s">
        <v>83</v>
      </c>
      <c r="B11" s="283"/>
      <c r="C11" s="283"/>
      <c r="D11" s="283"/>
      <c r="E11" s="283"/>
      <c r="F11" s="283"/>
      <c r="G11" s="283" t="s">
        <v>84</v>
      </c>
      <c r="H11" s="283"/>
      <c r="I11" s="283"/>
      <c r="J11" s="283"/>
      <c r="K11" s="283"/>
      <c r="L11" s="283"/>
      <c r="M11" s="283" t="s">
        <v>85</v>
      </c>
      <c r="N11" s="283"/>
      <c r="O11" s="283"/>
      <c r="P11" s="283"/>
      <c r="Q11" s="283"/>
      <c r="R11" s="283"/>
      <c r="S11" s="283" t="s">
        <v>86</v>
      </c>
      <c r="T11" s="283"/>
      <c r="U11" s="283"/>
      <c r="V11" s="283"/>
      <c r="W11" s="283"/>
      <c r="X11" s="283"/>
    </row>
    <row r="12" spans="1:24" ht="10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5">
      <c r="A13" s="262" t="s">
        <v>87</v>
      </c>
      <c r="B13" s="262"/>
      <c r="C13" s="262"/>
      <c r="D13" s="262"/>
      <c r="E13" s="262"/>
      <c r="F13" s="262"/>
      <c r="G13" s="262"/>
      <c r="H13" s="262"/>
      <c r="I13" s="262"/>
      <c r="J13" s="262" t="s">
        <v>78</v>
      </c>
      <c r="K13" s="262"/>
      <c r="L13" s="262"/>
      <c r="M13" s="262"/>
      <c r="N13" s="262"/>
      <c r="O13" s="262"/>
      <c r="P13" s="262" t="s">
        <v>79</v>
      </c>
      <c r="Q13" s="262"/>
      <c r="R13" s="262"/>
      <c r="S13" s="262"/>
      <c r="T13" s="262"/>
      <c r="U13" s="262"/>
      <c r="V13" s="262"/>
      <c r="W13" s="262"/>
      <c r="X13" s="262"/>
    </row>
    <row r="14" spans="1:24" ht="18" customHeight="1" x14ac:dyDescent="0.35">
      <c r="A14" s="269"/>
      <c r="B14" s="269"/>
      <c r="C14" s="269"/>
      <c r="D14" s="269"/>
      <c r="E14" s="269"/>
      <c r="F14" s="269"/>
      <c r="G14" s="269"/>
      <c r="H14" s="269"/>
      <c r="I14" s="269"/>
      <c r="J14" s="270" t="s">
        <v>88</v>
      </c>
      <c r="K14" s="271"/>
      <c r="L14" s="271"/>
      <c r="M14" s="271"/>
      <c r="N14" s="271"/>
      <c r="O14" s="272"/>
      <c r="P14" s="270" t="s">
        <v>89</v>
      </c>
      <c r="Q14" s="271"/>
      <c r="R14" s="271"/>
      <c r="S14" s="271"/>
      <c r="T14" s="271"/>
      <c r="U14" s="271"/>
      <c r="V14" s="271"/>
      <c r="W14" s="271"/>
      <c r="X14" s="272"/>
    </row>
    <row r="15" spans="1:24" ht="10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5">
      <c r="A16" s="273" t="s">
        <v>90</v>
      </c>
      <c r="B16" s="273"/>
      <c r="C16" s="273"/>
      <c r="D16" s="273"/>
      <c r="E16" s="273"/>
      <c r="F16" s="273"/>
      <c r="G16" s="273"/>
      <c r="H16" s="273"/>
      <c r="I16" s="273"/>
      <c r="J16" s="274" t="s">
        <v>91</v>
      </c>
      <c r="K16" s="274"/>
      <c r="L16" s="274"/>
      <c r="M16" s="274"/>
      <c r="N16" s="273" t="s">
        <v>92</v>
      </c>
      <c r="O16" s="273"/>
      <c r="P16" s="273"/>
      <c r="Q16" s="273"/>
      <c r="R16" s="273"/>
      <c r="S16" s="273"/>
      <c r="T16" s="275" t="s">
        <v>93</v>
      </c>
      <c r="U16" s="275"/>
      <c r="V16" s="275"/>
      <c r="W16" s="275"/>
      <c r="X16" s="275"/>
    </row>
    <row r="17" spans="1:24" ht="18" customHeight="1" x14ac:dyDescent="0.35">
      <c r="A17" s="263" t="s">
        <v>94</v>
      </c>
      <c r="B17" s="264"/>
      <c r="C17" s="264"/>
      <c r="D17" s="264"/>
      <c r="E17" s="264"/>
      <c r="F17" s="264"/>
      <c r="G17" s="264"/>
      <c r="H17" s="264"/>
      <c r="I17" s="265"/>
      <c r="J17" s="276" t="s">
        <v>95</v>
      </c>
      <c r="K17" s="277"/>
      <c r="L17" s="277"/>
      <c r="M17" s="278"/>
      <c r="N17" s="263" t="s">
        <v>96</v>
      </c>
      <c r="O17" s="264"/>
      <c r="P17" s="264"/>
      <c r="Q17" s="264"/>
      <c r="R17" s="264"/>
      <c r="S17" s="265"/>
      <c r="T17" s="263" t="s">
        <v>97</v>
      </c>
      <c r="U17" s="264"/>
      <c r="V17" s="264"/>
      <c r="W17" s="264"/>
      <c r="X17" s="265"/>
    </row>
    <row r="18" spans="1:24" ht="48.75" customHeight="1" x14ac:dyDescent="0.35">
      <c r="A18" s="266"/>
      <c r="B18" s="267"/>
      <c r="C18" s="267"/>
      <c r="D18" s="267"/>
      <c r="E18" s="267"/>
      <c r="F18" s="267"/>
      <c r="G18" s="267"/>
      <c r="H18" s="267"/>
      <c r="I18" s="268"/>
      <c r="J18" s="279"/>
      <c r="K18" s="280"/>
      <c r="L18" s="280"/>
      <c r="M18" s="281"/>
      <c r="N18" s="266"/>
      <c r="O18" s="267"/>
      <c r="P18" s="267"/>
      <c r="Q18" s="267"/>
      <c r="R18" s="267"/>
      <c r="S18" s="268"/>
      <c r="T18" s="266"/>
      <c r="U18" s="267"/>
      <c r="V18" s="267"/>
      <c r="W18" s="267"/>
      <c r="X18" s="268"/>
    </row>
    <row r="19" spans="1:24" ht="39" customHeight="1" x14ac:dyDescent="0.35"/>
    <row r="20" spans="1:24" ht="39" customHeight="1" x14ac:dyDescent="0.35"/>
    <row r="21" spans="1:24" x14ac:dyDescent="0.35">
      <c r="A21" s="261" t="s">
        <v>98</v>
      </c>
      <c r="B21" s="261"/>
      <c r="C21" s="261"/>
      <c r="D21" s="261"/>
      <c r="E21" s="261"/>
      <c r="F21" s="261"/>
      <c r="G21" s="261"/>
      <c r="H21" s="261"/>
      <c r="I21" s="5"/>
      <c r="J21" s="261" t="s">
        <v>65</v>
      </c>
      <c r="K21" s="261"/>
      <c r="L21" s="261"/>
      <c r="M21" s="261"/>
      <c r="N21" s="261"/>
      <c r="O21" s="261"/>
      <c r="P21" s="261"/>
      <c r="Q21" s="6"/>
      <c r="R21" s="261" t="s">
        <v>99</v>
      </c>
      <c r="S21" s="261"/>
      <c r="T21" s="261"/>
      <c r="U21" s="261"/>
      <c r="V21" s="261"/>
      <c r="W21" s="261"/>
      <c r="X21" s="261"/>
    </row>
    <row r="23" spans="1:24" ht="38.25" customHeight="1" x14ac:dyDescent="0.35">
      <c r="P23" s="258" t="s">
        <v>100</v>
      </c>
      <c r="Q23" s="258"/>
      <c r="R23" s="258"/>
      <c r="S23" s="258"/>
      <c r="T23" s="258"/>
      <c r="U23" s="259" t="s">
        <v>101</v>
      </c>
      <c r="V23" s="259"/>
      <c r="W23" s="259"/>
      <c r="X23" s="259"/>
    </row>
    <row r="24" spans="1:24" ht="38.25" customHeight="1" x14ac:dyDescent="0.35">
      <c r="P24" s="258" t="s">
        <v>102</v>
      </c>
      <c r="Q24" s="258"/>
      <c r="R24" s="258"/>
      <c r="S24" s="258"/>
      <c r="T24" s="258"/>
      <c r="U24" s="260" t="s">
        <v>103</v>
      </c>
      <c r="V24" s="260"/>
      <c r="W24" s="260"/>
      <c r="X24" s="260"/>
    </row>
  </sheetData>
  <mergeCells count="40"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  <mergeCell ref="A8:I8"/>
    <mergeCell ref="J8:O8"/>
    <mergeCell ref="P8:X8"/>
    <mergeCell ref="A10:X10"/>
    <mergeCell ref="A11:F11"/>
    <mergeCell ref="G11:L11"/>
    <mergeCell ref="M11:R11"/>
    <mergeCell ref="S11:X1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P23:T23"/>
    <mergeCell ref="U23:X23"/>
    <mergeCell ref="P24:T24"/>
    <mergeCell ref="U24:X24"/>
    <mergeCell ref="A21:H21"/>
    <mergeCell ref="J21:P21"/>
    <mergeCell ref="R21:X21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4" ma:contentTypeDescription="Crear nuevo documento." ma:contentTypeScope="" ma:versionID="95cfff668db4ca1e5f6e9375137a4a8e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6912f17aaadcd6a9684df23b147afc35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  <xsd:element ref="ns2:_x0031_01000547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1_010005470" ma:index="31" nillable="true" ma:displayName="1010005470" ma:format="Dropdown" ma:list="UserInfo" ma:SharePointGroup="0" ma:internalName="_x0031_01000547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Flow_SignoffStatus xmlns="edbb1c21-1b45-407e-8894-c97732534993" xsi:nil="true"/>
    <_ip_UnifiedCompliancePolicyProperties xmlns="http://schemas.microsoft.com/sharepoint/v3" xsi:nil="true"/>
    <_x0031_010005470 xmlns="edbb1c21-1b45-407e-8894-c97732534993">
      <UserInfo>
        <DisplayName/>
        <AccountId xsi:nil="true"/>
        <AccountType/>
      </UserInfo>
    </_x0031_010005470>
    <FechayHora xmlns="edbb1c21-1b45-407e-8894-c97732534993" xsi:nil="true"/>
  </documentManagement>
</p:properties>
</file>

<file path=customXml/itemProps1.xml><?xml version="1.0" encoding="utf-8"?>
<ds:datastoreItem xmlns:ds="http://schemas.openxmlformats.org/officeDocument/2006/customXml" ds:itemID="{2FFAC935-8881-451D-93ED-25958414B4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0DC6A2-D4C3-4E6B-B67E-9AED22EC48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dbb1c21-1b45-407e-8894-c97732534993"/>
    <ds:schemaRef ds:uri="41dd0a9e-964d-48c8-9389-7445c2a187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D99F47-C05E-4B8B-A445-C498A798444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1dd0a9e-964d-48c8-9389-7445c2a187f7"/>
    <ds:schemaRef ds:uri="edbb1c21-1b45-407e-8894-c977325349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Bitacora</vt:lpstr>
      <vt:lpstr>BD_SENA</vt:lpstr>
      <vt:lpstr>Hoja1</vt:lpstr>
      <vt:lpstr>Instructivo</vt:lpstr>
      <vt:lpstr>Bitacora!Área_de_impresión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Segumiento etapa productiva</dc:creator>
  <cp:keywords/>
  <dc:description/>
  <cp:lastModifiedBy>Sara Castañeda</cp:lastModifiedBy>
  <cp:revision/>
  <cp:lastPrinted>2026-06-17T00:13:06Z</cp:lastPrinted>
  <dcterms:created xsi:type="dcterms:W3CDTF">2012-05-30T19:45:02Z</dcterms:created>
  <dcterms:modified xsi:type="dcterms:W3CDTF">2026-06-25T01:34:39Z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2024-12-04T19:56:03Z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88d1ee20-46bd-473f-a561-8f085bdf4141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0x01010080239B14884FBB46AB47CE62E6B5D997</vt:lpwstr>
  </property>
  <property fmtid="{D5CDD505-2E9C-101B-9397-08002B2CF9AE}" pid="10" name="MediaServiceImageTags">
    <vt:lpwstr/>
  </property>
</Properties>
</file>